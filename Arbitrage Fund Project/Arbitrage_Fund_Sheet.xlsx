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PGPM COURSE\Finance\OFD\Assignments\Arbitrage Fund Project\"/>
    </mc:Choice>
  </mc:AlternateContent>
  <xr:revisionPtr revIDLastSave="0" documentId="13_ncr:1_{7B6DC5EC-636E-4E31-800E-D6D1B2D8A406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Summary" sheetId="2" r:id="rId1"/>
    <sheet name="Assumptions" sheetId="3" r:id="rId2"/>
    <sheet name="Data Analysis" sheetId="4" r:id="rId3"/>
    <sheet name="Trade_Log" sheetId="5" r:id="rId4"/>
    <sheet name="Daily_Ledger" sheetId="6" r:id="rId5"/>
    <sheet name="Raw_Data_Reliance" sheetId="7" r:id="rId6"/>
    <sheet name="Raw_Data_Adani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6" l="1"/>
  <c r="C13" i="5"/>
  <c r="B13" i="5"/>
  <c r="C12" i="5"/>
  <c r="B12" i="5"/>
  <c r="C11" i="5"/>
  <c r="G11" i="5" s="1" a="1"/>
  <c r="G11" i="5" s="1"/>
  <c r="I11" i="5" s="1"/>
  <c r="B11" i="5"/>
  <c r="C10" i="5"/>
  <c r="B10" i="5"/>
  <c r="C9" i="5"/>
  <c r="B9" i="5"/>
  <c r="C8" i="5"/>
  <c r="B8" i="5"/>
  <c r="C7" i="5"/>
  <c r="B7" i="5"/>
  <c r="C6" i="5"/>
  <c r="B6" i="5"/>
  <c r="C5" i="5"/>
  <c r="B5" i="5"/>
  <c r="A5" i="5"/>
  <c r="A6" i="5" s="1"/>
  <c r="A7" i="5" s="1"/>
  <c r="A8" i="5" s="1"/>
  <c r="A9" i="5" s="1"/>
  <c r="A10" i="5" s="1"/>
  <c r="A11" i="5" s="1"/>
  <c r="A12" i="5" s="1"/>
  <c r="A13" i="5" s="1"/>
  <c r="C4" i="5"/>
  <c r="B4" i="5"/>
  <c r="C3" i="5"/>
  <c r="B3" i="5"/>
  <c r="A3" i="5"/>
  <c r="A4" i="5" s="1"/>
  <c r="C2" i="5"/>
  <c r="B2" i="5"/>
  <c r="AE185" i="4"/>
  <c r="AC185" i="4"/>
  <c r="AD185" i="4" s="1"/>
  <c r="AB185" i="4"/>
  <c r="C185" i="4"/>
  <c r="AI185" i="4" s="1"/>
  <c r="AC184" i="4"/>
  <c r="AB184" i="4"/>
  <c r="C184" i="4"/>
  <c r="AI183" i="4"/>
  <c r="AC183" i="4"/>
  <c r="AD183" i="4" s="1"/>
  <c r="AB183" i="4"/>
  <c r="C183" i="4"/>
  <c r="AG183" i="4" s="1"/>
  <c r="AC182" i="4"/>
  <c r="AD182" i="4" s="1"/>
  <c r="AB182" i="4"/>
  <c r="C182" i="4"/>
  <c r="AC181" i="4"/>
  <c r="AD181" i="4" s="1"/>
  <c r="AB181" i="4"/>
  <c r="C181" i="4"/>
  <c r="AC180" i="4"/>
  <c r="AB180" i="4"/>
  <c r="C180" i="4"/>
  <c r="AI179" i="4"/>
  <c r="AC179" i="4"/>
  <c r="AB179" i="4"/>
  <c r="C179" i="4"/>
  <c r="AG178" i="4"/>
  <c r="AE178" i="4"/>
  <c r="AF178" i="4" s="1"/>
  <c r="AH178" i="4" s="1"/>
  <c r="AJ178" i="4" s="1"/>
  <c r="AK178" i="4" s="1"/>
  <c r="AC178" i="4"/>
  <c r="AD178" i="4" s="1"/>
  <c r="AB178" i="4"/>
  <c r="C178" i="4"/>
  <c r="AI178" i="4" s="1"/>
  <c r="AI177" i="4"/>
  <c r="AG177" i="4"/>
  <c r="AE177" i="4"/>
  <c r="AF177" i="4" s="1"/>
  <c r="AH177" i="4" s="1"/>
  <c r="AJ177" i="4" s="1"/>
  <c r="AK177" i="4" s="1"/>
  <c r="AC177" i="4"/>
  <c r="AD177" i="4" s="1"/>
  <c r="AB177" i="4"/>
  <c r="C177" i="4"/>
  <c r="AC176" i="4"/>
  <c r="AD176" i="4" s="1"/>
  <c r="AB176" i="4"/>
  <c r="AI176" i="4" s="1"/>
  <c r="C176" i="4"/>
  <c r="AE176" i="4" s="1"/>
  <c r="AI175" i="4"/>
  <c r="AG175" i="4"/>
  <c r="AC175" i="4"/>
  <c r="AD175" i="4" s="1"/>
  <c r="AB175" i="4"/>
  <c r="AF175" i="4" s="1"/>
  <c r="C175" i="4"/>
  <c r="AE175" i="4" s="1"/>
  <c r="AI174" i="4"/>
  <c r="AC174" i="4"/>
  <c r="AD174" i="4" s="1"/>
  <c r="AB174" i="4"/>
  <c r="C174" i="4"/>
  <c r="AG174" i="4" s="1"/>
  <c r="AC173" i="4"/>
  <c r="AD173" i="4" s="1"/>
  <c r="AB173" i="4"/>
  <c r="C173" i="4"/>
  <c r="AG172" i="4"/>
  <c r="AC172" i="4"/>
  <c r="AD172" i="4" s="1"/>
  <c r="AB172" i="4"/>
  <c r="C172" i="4"/>
  <c r="AI172" i="4" s="1"/>
  <c r="AE171" i="4"/>
  <c r="AC171" i="4"/>
  <c r="AD171" i="4" s="1"/>
  <c r="AB171" i="4"/>
  <c r="AG171" i="4" s="1"/>
  <c r="C171" i="4"/>
  <c r="AI170" i="4"/>
  <c r="AG170" i="4"/>
  <c r="AC170" i="4"/>
  <c r="AD170" i="4" s="1"/>
  <c r="AB170" i="4"/>
  <c r="C170" i="4"/>
  <c r="AE169" i="4"/>
  <c r="AF169" i="4" s="1"/>
  <c r="AC169" i="4"/>
  <c r="AD169" i="4" s="1"/>
  <c r="AB169" i="4"/>
  <c r="C169" i="4"/>
  <c r="AI169" i="4" s="1"/>
  <c r="AC168" i="4"/>
  <c r="AD168" i="4" s="1"/>
  <c r="AB168" i="4"/>
  <c r="C168" i="4"/>
  <c r="AD167" i="4"/>
  <c r="AC167" i="4"/>
  <c r="AB167" i="4"/>
  <c r="C167" i="4"/>
  <c r="AG167" i="4" s="1"/>
  <c r="AD166" i="4"/>
  <c r="AC166" i="4"/>
  <c r="AB166" i="4"/>
  <c r="C166" i="4"/>
  <c r="AI166" i="4" s="1"/>
  <c r="AC165" i="4"/>
  <c r="AD165" i="4" s="1"/>
  <c r="AB165" i="4"/>
  <c r="C165" i="4"/>
  <c r="AF164" i="4"/>
  <c r="AE164" i="4"/>
  <c r="AC164" i="4"/>
  <c r="AD164" i="4" s="1"/>
  <c r="AB164" i="4"/>
  <c r="AI164" i="4" s="1"/>
  <c r="C164" i="4"/>
  <c r="AI163" i="4"/>
  <c r="AC163" i="4"/>
  <c r="AD163" i="4" s="1"/>
  <c r="AB163" i="4"/>
  <c r="AF163" i="4" s="1"/>
  <c r="C163" i="4"/>
  <c r="AE163" i="4" s="1"/>
  <c r="AC162" i="4"/>
  <c r="AD162" i="4" s="1"/>
  <c r="AB162" i="4"/>
  <c r="C162" i="4"/>
  <c r="AI161" i="4"/>
  <c r="AD161" i="4"/>
  <c r="AC161" i="4"/>
  <c r="AB161" i="4"/>
  <c r="C161" i="4"/>
  <c r="AE161" i="4" s="1"/>
  <c r="AF161" i="4" s="1"/>
  <c r="AF160" i="4"/>
  <c r="AE160" i="4"/>
  <c r="AC160" i="4"/>
  <c r="AD160" i="4" s="1"/>
  <c r="AB160" i="4"/>
  <c r="AI160" i="4" s="1"/>
  <c r="C160" i="4"/>
  <c r="AI159" i="4"/>
  <c r="AC159" i="4"/>
  <c r="AD159" i="4" s="1"/>
  <c r="AB159" i="4"/>
  <c r="AF159" i="4" s="1"/>
  <c r="C159" i="4"/>
  <c r="AE159" i="4" s="1"/>
  <c r="AC158" i="4"/>
  <c r="AD158" i="4" s="1"/>
  <c r="AB158" i="4"/>
  <c r="C158" i="4"/>
  <c r="AI157" i="4"/>
  <c r="AD157" i="4"/>
  <c r="AC157" i="4"/>
  <c r="AB157" i="4"/>
  <c r="C157" i="4"/>
  <c r="AE157" i="4" s="1"/>
  <c r="AF157" i="4" s="1"/>
  <c r="AF156" i="4"/>
  <c r="AE156" i="4"/>
  <c r="AC156" i="4"/>
  <c r="AD156" i="4" s="1"/>
  <c r="AB156" i="4"/>
  <c r="AI156" i="4" s="1"/>
  <c r="C156" i="4"/>
  <c r="AI155" i="4"/>
  <c r="AC155" i="4"/>
  <c r="AD155" i="4" s="1"/>
  <c r="AB155" i="4"/>
  <c r="AF155" i="4" s="1"/>
  <c r="C155" i="4"/>
  <c r="AE155" i="4" s="1"/>
  <c r="AC154" i="4"/>
  <c r="AD154" i="4" s="1"/>
  <c r="AB154" i="4"/>
  <c r="C154" i="4"/>
  <c r="AI153" i="4"/>
  <c r="AD153" i="4"/>
  <c r="AC153" i="4"/>
  <c r="AB153" i="4"/>
  <c r="C153" i="4"/>
  <c r="AE153" i="4" s="1"/>
  <c r="AF153" i="4" s="1"/>
  <c r="AF152" i="4"/>
  <c r="AE152" i="4"/>
  <c r="AC152" i="4"/>
  <c r="AD152" i="4" s="1"/>
  <c r="AB152" i="4"/>
  <c r="U152" i="4"/>
  <c r="Q152" i="4"/>
  <c r="R152" i="4" s="1"/>
  <c r="P152" i="4"/>
  <c r="C152" i="4"/>
  <c r="AG152" i="4" s="1"/>
  <c r="AD151" i="4"/>
  <c r="AE151" i="4" s="1"/>
  <c r="AC151" i="4"/>
  <c r="AB151" i="4"/>
  <c r="W151" i="4"/>
  <c r="U151" i="4"/>
  <c r="S151" i="4"/>
  <c r="T151" i="4" s="1"/>
  <c r="V151" i="4" s="1"/>
  <c r="X151" i="4" s="1"/>
  <c r="Y151" i="4" s="1"/>
  <c r="Z151" i="4" s="1"/>
  <c r="R151" i="4"/>
  <c r="Q151" i="4"/>
  <c r="P151" i="4"/>
  <c r="C151" i="4"/>
  <c r="AI150" i="4"/>
  <c r="AC150" i="4"/>
  <c r="AD150" i="4" s="1"/>
  <c r="AB150" i="4"/>
  <c r="U150" i="4"/>
  <c r="T150" i="4"/>
  <c r="V150" i="4" s="1"/>
  <c r="X150" i="4" s="1"/>
  <c r="Y150" i="4" s="1"/>
  <c r="Z150" i="4" s="1"/>
  <c r="S150" i="4"/>
  <c r="R150" i="4"/>
  <c r="Q150" i="4"/>
  <c r="P150" i="4"/>
  <c r="C150" i="4"/>
  <c r="W150" i="4" s="1"/>
  <c r="AC149" i="4"/>
  <c r="AD149" i="4" s="1"/>
  <c r="AB149" i="4"/>
  <c r="U149" i="4"/>
  <c r="T149" i="4"/>
  <c r="S149" i="4"/>
  <c r="Q149" i="4"/>
  <c r="R149" i="4" s="1"/>
  <c r="P149" i="4"/>
  <c r="W149" i="4" s="1"/>
  <c r="C149" i="4"/>
  <c r="AC148" i="4"/>
  <c r="AD148" i="4" s="1"/>
  <c r="AB148" i="4"/>
  <c r="W148" i="4"/>
  <c r="Q148" i="4"/>
  <c r="R148" i="4" s="1"/>
  <c r="P148" i="4"/>
  <c r="C148" i="4"/>
  <c r="AC147" i="4"/>
  <c r="AD147" i="4" s="1"/>
  <c r="AB147" i="4"/>
  <c r="W147" i="4"/>
  <c r="Q147" i="4"/>
  <c r="R147" i="4" s="1"/>
  <c r="P147" i="4"/>
  <c r="C147" i="4"/>
  <c r="AI147" i="4" s="1"/>
  <c r="AF146" i="4"/>
  <c r="AE146" i="4"/>
  <c r="AD146" i="4"/>
  <c r="AC146" i="4"/>
  <c r="AB146" i="4"/>
  <c r="Q146" i="4"/>
  <c r="R146" i="4" s="1"/>
  <c r="P146" i="4"/>
  <c r="C146" i="4"/>
  <c r="AC145" i="4"/>
  <c r="AD145" i="4" s="1"/>
  <c r="AB145" i="4"/>
  <c r="Q145" i="4"/>
  <c r="R145" i="4" s="1"/>
  <c r="P145" i="4"/>
  <c r="C145" i="4"/>
  <c r="AC144" i="4"/>
  <c r="AD144" i="4" s="1"/>
  <c r="AB144" i="4"/>
  <c r="W144" i="4"/>
  <c r="S144" i="4"/>
  <c r="T144" i="4" s="1"/>
  <c r="Q144" i="4"/>
  <c r="R144" i="4" s="1"/>
  <c r="P144" i="4"/>
  <c r="C144" i="4"/>
  <c r="AI144" i="4" s="1"/>
  <c r="AD143" i="4"/>
  <c r="AC143" i="4"/>
  <c r="AB143" i="4"/>
  <c r="S143" i="4"/>
  <c r="T143" i="4" s="1"/>
  <c r="R143" i="4"/>
  <c r="Q143" i="4"/>
  <c r="P143" i="4"/>
  <c r="C143" i="4"/>
  <c r="AC142" i="4"/>
  <c r="AD142" i="4" s="1"/>
  <c r="AE142" i="4" s="1"/>
  <c r="AB142" i="4"/>
  <c r="AF142" i="4" s="1"/>
  <c r="AH142" i="4" s="1"/>
  <c r="W142" i="4"/>
  <c r="U142" i="4"/>
  <c r="R142" i="4"/>
  <c r="Q142" i="4"/>
  <c r="P142" i="4"/>
  <c r="C142" i="4"/>
  <c r="AG142" i="4" s="1"/>
  <c r="AC141" i="4"/>
  <c r="AD141" i="4" s="1"/>
  <c r="AB141" i="4"/>
  <c r="AI141" i="4" s="1"/>
  <c r="Q141" i="4"/>
  <c r="R141" i="4" s="1"/>
  <c r="P141" i="4"/>
  <c r="C141" i="4"/>
  <c r="AI140" i="4"/>
  <c r="AC140" i="4"/>
  <c r="AD140" i="4" s="1"/>
  <c r="AB140" i="4"/>
  <c r="R140" i="4"/>
  <c r="Q140" i="4"/>
  <c r="P140" i="4"/>
  <c r="C140" i="4"/>
  <c r="AG140" i="4" s="1"/>
  <c r="AG139" i="4"/>
  <c r="AC139" i="4"/>
  <c r="AD139" i="4" s="1"/>
  <c r="AB139" i="4"/>
  <c r="Q139" i="4"/>
  <c r="R139" i="4" s="1"/>
  <c r="P139" i="4"/>
  <c r="C139" i="4"/>
  <c r="AI138" i="4"/>
  <c r="AG138" i="4"/>
  <c r="AE138" i="4"/>
  <c r="AF138" i="4" s="1"/>
  <c r="AH138" i="4" s="1"/>
  <c r="AJ138" i="4" s="1"/>
  <c r="AK138" i="4" s="1"/>
  <c r="AL138" i="4" s="1"/>
  <c r="AD138" i="4"/>
  <c r="AC138" i="4"/>
  <c r="AB138" i="4"/>
  <c r="W138" i="4"/>
  <c r="U138" i="4"/>
  <c r="Q138" i="4"/>
  <c r="R138" i="4" s="1"/>
  <c r="P138" i="4"/>
  <c r="C138" i="4"/>
  <c r="AD137" i="4"/>
  <c r="AE137" i="4" s="1"/>
  <c r="AF137" i="4" s="1"/>
  <c r="AC137" i="4"/>
  <c r="AB137" i="4"/>
  <c r="W137" i="4"/>
  <c r="U137" i="4"/>
  <c r="Q137" i="4"/>
  <c r="R137" i="4" s="1"/>
  <c r="P137" i="4"/>
  <c r="C137" i="4"/>
  <c r="AG136" i="4"/>
  <c r="AE136" i="4"/>
  <c r="AF136" i="4" s="1"/>
  <c r="AH136" i="4" s="1"/>
  <c r="AC136" i="4"/>
  <c r="AD136" i="4" s="1"/>
  <c r="AB136" i="4"/>
  <c r="T136" i="4"/>
  <c r="S136" i="4"/>
  <c r="Q136" i="4"/>
  <c r="R136" i="4" s="1"/>
  <c r="P136" i="4"/>
  <c r="C136" i="4"/>
  <c r="AI135" i="4"/>
  <c r="AC135" i="4"/>
  <c r="AD135" i="4" s="1"/>
  <c r="AB135" i="4"/>
  <c r="W135" i="4"/>
  <c r="U135" i="4"/>
  <c r="R135" i="4"/>
  <c r="S135" i="4" s="1"/>
  <c r="T135" i="4" s="1"/>
  <c r="V135" i="4" s="1"/>
  <c r="X135" i="4" s="1"/>
  <c r="Y135" i="4" s="1"/>
  <c r="Z135" i="4" s="1"/>
  <c r="Q135" i="4"/>
  <c r="P135" i="4"/>
  <c r="C135" i="4"/>
  <c r="AI134" i="4"/>
  <c r="AC134" i="4"/>
  <c r="AD134" i="4" s="1"/>
  <c r="AB134" i="4"/>
  <c r="U134" i="4"/>
  <c r="S134" i="4"/>
  <c r="T134" i="4" s="1"/>
  <c r="V134" i="4" s="1"/>
  <c r="X134" i="4" s="1"/>
  <c r="Y134" i="4" s="1"/>
  <c r="R134" i="4"/>
  <c r="Z134" i="4" s="1"/>
  <c r="Q134" i="4"/>
  <c r="P134" i="4"/>
  <c r="C134" i="4"/>
  <c r="W134" i="4" s="1"/>
  <c r="AC133" i="4"/>
  <c r="AD133" i="4" s="1"/>
  <c r="AB133" i="4"/>
  <c r="T133" i="4"/>
  <c r="S133" i="4"/>
  <c r="Q133" i="4"/>
  <c r="R133" i="4" s="1"/>
  <c r="P133" i="4"/>
  <c r="U133" i="4" s="1"/>
  <c r="C133" i="4"/>
  <c r="AC132" i="4"/>
  <c r="AD132" i="4" s="1"/>
  <c r="AB132" i="4"/>
  <c r="R132" i="4"/>
  <c r="Q132" i="4"/>
  <c r="P132" i="4"/>
  <c r="C132" i="4"/>
  <c r="AF131" i="4"/>
  <c r="AE131" i="4"/>
  <c r="AD131" i="4"/>
  <c r="AC131" i="4"/>
  <c r="AB131" i="4"/>
  <c r="Q131" i="4"/>
  <c r="R131" i="4" s="1"/>
  <c r="P131" i="4"/>
  <c r="C131" i="4"/>
  <c r="AG130" i="4"/>
  <c r="AD130" i="4"/>
  <c r="AE130" i="4" s="1"/>
  <c r="AF130" i="4" s="1"/>
  <c r="AH130" i="4" s="1"/>
  <c r="AC130" i="4"/>
  <c r="AB130" i="4"/>
  <c r="Q130" i="4"/>
  <c r="R130" i="4" s="1"/>
  <c r="P130" i="4"/>
  <c r="C130" i="4"/>
  <c r="AG129" i="4"/>
  <c r="AD129" i="4"/>
  <c r="AC129" i="4"/>
  <c r="AB129" i="4"/>
  <c r="U129" i="4"/>
  <c r="Q129" i="4"/>
  <c r="R129" i="4" s="1"/>
  <c r="P129" i="4"/>
  <c r="C129" i="4"/>
  <c r="AD128" i="4"/>
  <c r="AC128" i="4"/>
  <c r="AB128" i="4"/>
  <c r="T128" i="4"/>
  <c r="S128" i="4"/>
  <c r="R128" i="4"/>
  <c r="Q128" i="4"/>
  <c r="P128" i="4"/>
  <c r="C128" i="4"/>
  <c r="AD127" i="4"/>
  <c r="AC127" i="4"/>
  <c r="AB127" i="4"/>
  <c r="R127" i="4"/>
  <c r="Q127" i="4"/>
  <c r="P127" i="4"/>
  <c r="C127" i="4"/>
  <c r="AI126" i="4"/>
  <c r="AD126" i="4"/>
  <c r="AE126" i="4" s="1"/>
  <c r="AC126" i="4"/>
  <c r="AB126" i="4"/>
  <c r="W126" i="4"/>
  <c r="U126" i="4"/>
  <c r="Q126" i="4"/>
  <c r="R126" i="4" s="1"/>
  <c r="P126" i="4"/>
  <c r="C126" i="4"/>
  <c r="AG126" i="4" s="1"/>
  <c r="AI125" i="4"/>
  <c r="AC125" i="4"/>
  <c r="AD125" i="4" s="1"/>
  <c r="AB125" i="4"/>
  <c r="Q125" i="4"/>
  <c r="R125" i="4" s="1"/>
  <c r="P125" i="4"/>
  <c r="C125" i="4"/>
  <c r="AC124" i="4"/>
  <c r="AD124" i="4" s="1"/>
  <c r="AB124" i="4"/>
  <c r="Q124" i="4"/>
  <c r="R124" i="4" s="1"/>
  <c r="P124" i="4"/>
  <c r="U124" i="4" s="1"/>
  <c r="G124" i="4"/>
  <c r="F124" i="4"/>
  <c r="E124" i="4"/>
  <c r="D124" i="4"/>
  <c r="H124" i="4" s="1"/>
  <c r="C124" i="4"/>
  <c r="AD123" i="4"/>
  <c r="AC123" i="4"/>
  <c r="AB123" i="4"/>
  <c r="U123" i="4"/>
  <c r="S123" i="4"/>
  <c r="T123" i="4" s="1"/>
  <c r="V123" i="4" s="1"/>
  <c r="R123" i="4"/>
  <c r="Q123" i="4"/>
  <c r="P123" i="4"/>
  <c r="K123" i="4"/>
  <c r="I123" i="4"/>
  <c r="F123" i="4"/>
  <c r="E123" i="4"/>
  <c r="D123" i="4"/>
  <c r="C123" i="4"/>
  <c r="AC122" i="4"/>
  <c r="AD122" i="4" s="1"/>
  <c r="AE122" i="4" s="1"/>
  <c r="AB122" i="4"/>
  <c r="W122" i="4"/>
  <c r="R122" i="4"/>
  <c r="Q122" i="4"/>
  <c r="P122" i="4"/>
  <c r="E122" i="4"/>
  <c r="D122" i="4"/>
  <c r="C122" i="4"/>
  <c r="AF121" i="4"/>
  <c r="AE121" i="4"/>
  <c r="AD121" i="4"/>
  <c r="AC121" i="4"/>
  <c r="AB121" i="4"/>
  <c r="AI121" i="4" s="1"/>
  <c r="U121" i="4"/>
  <c r="Q121" i="4"/>
  <c r="R121" i="4" s="1"/>
  <c r="P121" i="4"/>
  <c r="G121" i="4"/>
  <c r="F121" i="4"/>
  <c r="E121" i="4"/>
  <c r="D9" i="5" s="1"/>
  <c r="D121" i="4"/>
  <c r="C121" i="4"/>
  <c r="AI120" i="4"/>
  <c r="AG120" i="4"/>
  <c r="AC120" i="4"/>
  <c r="AD120" i="4" s="1"/>
  <c r="AB120" i="4"/>
  <c r="Q120" i="4"/>
  <c r="R120" i="4" s="1"/>
  <c r="S120" i="4" s="1"/>
  <c r="P120" i="4"/>
  <c r="K120" i="4"/>
  <c r="I120" i="4"/>
  <c r="G120" i="4"/>
  <c r="H120" i="4" s="1"/>
  <c r="J120" i="4" s="1"/>
  <c r="L120" i="4" s="1"/>
  <c r="M120" i="4" s="1"/>
  <c r="N120" i="4" s="1"/>
  <c r="F120" i="4"/>
  <c r="E120" i="4"/>
  <c r="D120" i="4"/>
  <c r="C120" i="4"/>
  <c r="AI119" i="4"/>
  <c r="AD119" i="4"/>
  <c r="AC119" i="4"/>
  <c r="AB119" i="4"/>
  <c r="Q119" i="4"/>
  <c r="R119" i="4" s="1"/>
  <c r="P119" i="4"/>
  <c r="K119" i="4"/>
  <c r="I119" i="4"/>
  <c r="E119" i="4"/>
  <c r="F119" i="4" s="1"/>
  <c r="D119" i="4"/>
  <c r="C119" i="4"/>
  <c r="U119" i="4" s="1"/>
  <c r="AG118" i="4"/>
  <c r="AD118" i="4"/>
  <c r="AC118" i="4"/>
  <c r="AB118" i="4"/>
  <c r="W118" i="4"/>
  <c r="U118" i="4"/>
  <c r="Q118" i="4"/>
  <c r="R118" i="4" s="1"/>
  <c r="P118" i="4"/>
  <c r="E118" i="4"/>
  <c r="F118" i="4" s="1"/>
  <c r="D118" i="4"/>
  <c r="C118" i="4"/>
  <c r="AI117" i="4"/>
  <c r="AG117" i="4"/>
  <c r="AD117" i="4"/>
  <c r="AC117" i="4"/>
  <c r="AB117" i="4"/>
  <c r="Q117" i="4"/>
  <c r="R117" i="4" s="1"/>
  <c r="P117" i="4"/>
  <c r="F117" i="4"/>
  <c r="E117" i="4"/>
  <c r="D117" i="4"/>
  <c r="I117" i="4" s="1"/>
  <c r="C117" i="4"/>
  <c r="AG116" i="4"/>
  <c r="AC116" i="4"/>
  <c r="AD116" i="4" s="1"/>
  <c r="AB116" i="4"/>
  <c r="Q116" i="4"/>
  <c r="R116" i="4" s="1"/>
  <c r="P116" i="4"/>
  <c r="F116" i="4"/>
  <c r="E116" i="4"/>
  <c r="D116" i="4"/>
  <c r="C116" i="4"/>
  <c r="AD115" i="4"/>
  <c r="AC115" i="4"/>
  <c r="AB115" i="4"/>
  <c r="R115" i="4"/>
  <c r="Q115" i="4"/>
  <c r="P115" i="4"/>
  <c r="E115" i="4"/>
  <c r="F115" i="4" s="1"/>
  <c r="D115" i="4"/>
  <c r="C115" i="4"/>
  <c r="AD114" i="4"/>
  <c r="AC114" i="4"/>
  <c r="AB114" i="4"/>
  <c r="Q114" i="4"/>
  <c r="R114" i="4" s="1"/>
  <c r="P114" i="4"/>
  <c r="F114" i="4"/>
  <c r="E114" i="4"/>
  <c r="D114" i="4"/>
  <c r="C114" i="4"/>
  <c r="AH113" i="4"/>
  <c r="AJ113" i="4" s="1"/>
  <c r="AK113" i="4" s="1"/>
  <c r="AL113" i="4" s="1"/>
  <c r="AG113" i="4"/>
  <c r="AF113" i="4"/>
  <c r="AE113" i="4"/>
  <c r="AD113" i="4"/>
  <c r="AC113" i="4"/>
  <c r="AB113" i="4"/>
  <c r="AI113" i="4" s="1"/>
  <c r="W113" i="4"/>
  <c r="Q113" i="4"/>
  <c r="R113" i="4" s="1"/>
  <c r="S113" i="4" s="1"/>
  <c r="P113" i="4"/>
  <c r="E113" i="4"/>
  <c r="F113" i="4" s="1"/>
  <c r="D113" i="4"/>
  <c r="C113" i="4"/>
  <c r="AC112" i="4"/>
  <c r="AD112" i="4" s="1"/>
  <c r="AB112" i="4"/>
  <c r="AI112" i="4" s="1"/>
  <c r="Q112" i="4"/>
  <c r="R112" i="4" s="1"/>
  <c r="P112" i="4"/>
  <c r="K112" i="4"/>
  <c r="I112" i="4"/>
  <c r="F112" i="4"/>
  <c r="E112" i="4"/>
  <c r="D112" i="4"/>
  <c r="C112" i="4"/>
  <c r="AC111" i="4"/>
  <c r="AD111" i="4" s="1"/>
  <c r="AB111" i="4"/>
  <c r="AI111" i="4" s="1"/>
  <c r="W111" i="4"/>
  <c r="Q111" i="4"/>
  <c r="R111" i="4" s="1"/>
  <c r="P111" i="4"/>
  <c r="E111" i="4"/>
  <c r="F111" i="4" s="1"/>
  <c r="D111" i="4"/>
  <c r="C111" i="4"/>
  <c r="AD110" i="4"/>
  <c r="AC110" i="4"/>
  <c r="AB110" i="4"/>
  <c r="W110" i="4"/>
  <c r="Q110" i="4"/>
  <c r="R110" i="4" s="1"/>
  <c r="P110" i="4"/>
  <c r="F110" i="4"/>
  <c r="E110" i="4"/>
  <c r="D110" i="4"/>
  <c r="C110" i="4"/>
  <c r="U110" i="4" s="1"/>
  <c r="AF109" i="4"/>
  <c r="AE109" i="4"/>
  <c r="AD109" i="4"/>
  <c r="AC109" i="4"/>
  <c r="AB109" i="4"/>
  <c r="U109" i="4"/>
  <c r="S109" i="4"/>
  <c r="R109" i="4"/>
  <c r="Q109" i="4"/>
  <c r="P109" i="4"/>
  <c r="W109" i="4" s="1"/>
  <c r="I109" i="4"/>
  <c r="F109" i="4"/>
  <c r="E109" i="4"/>
  <c r="D109" i="4"/>
  <c r="C109" i="4"/>
  <c r="K109" i="4" s="1"/>
  <c r="AD108" i="4"/>
  <c r="AC108" i="4"/>
  <c r="AB108" i="4"/>
  <c r="W108" i="4"/>
  <c r="S108" i="4"/>
  <c r="T108" i="4" s="1"/>
  <c r="R108" i="4"/>
  <c r="Q108" i="4"/>
  <c r="P108" i="4"/>
  <c r="I108" i="4"/>
  <c r="G108" i="4"/>
  <c r="F108" i="4"/>
  <c r="E108" i="4"/>
  <c r="D108" i="4"/>
  <c r="K108" i="4" s="1"/>
  <c r="C108" i="4"/>
  <c r="AD107" i="4"/>
  <c r="AC107" i="4"/>
  <c r="AB107" i="4"/>
  <c r="U107" i="4"/>
  <c r="Q107" i="4"/>
  <c r="R107" i="4" s="1"/>
  <c r="P107" i="4"/>
  <c r="F107" i="4"/>
  <c r="E107" i="4"/>
  <c r="D107" i="4"/>
  <c r="I107" i="4" s="1"/>
  <c r="C107" i="4"/>
  <c r="AC106" i="4"/>
  <c r="AD106" i="4" s="1"/>
  <c r="AB106" i="4"/>
  <c r="Q106" i="4"/>
  <c r="R106" i="4" s="1"/>
  <c r="P106" i="4"/>
  <c r="W106" i="4" s="1"/>
  <c r="H106" i="4"/>
  <c r="G106" i="4"/>
  <c r="F106" i="4"/>
  <c r="E106" i="4"/>
  <c r="D106" i="4"/>
  <c r="K106" i="4" s="1"/>
  <c r="C106" i="4"/>
  <c r="AI105" i="4"/>
  <c r="AH105" i="4"/>
  <c r="AJ105" i="4" s="1"/>
  <c r="AK105" i="4" s="1"/>
  <c r="AL105" i="4" s="1"/>
  <c r="AG105" i="4"/>
  <c r="AF105" i="4"/>
  <c r="AE105" i="4"/>
  <c r="AD105" i="4"/>
  <c r="AC105" i="4"/>
  <c r="AB105" i="4"/>
  <c r="R105" i="4"/>
  <c r="S105" i="4" s="1"/>
  <c r="Q105" i="4"/>
  <c r="P105" i="4"/>
  <c r="E105" i="4"/>
  <c r="F105" i="4" s="1"/>
  <c r="D105" i="4"/>
  <c r="C105" i="4"/>
  <c r="AD104" i="4"/>
  <c r="AC104" i="4"/>
  <c r="AB104" i="4"/>
  <c r="Q104" i="4"/>
  <c r="R104" i="4" s="1"/>
  <c r="P104" i="4"/>
  <c r="F104" i="4"/>
  <c r="E104" i="4"/>
  <c r="D104" i="4"/>
  <c r="C104" i="4"/>
  <c r="W104" i="4" s="1"/>
  <c r="AD103" i="4"/>
  <c r="AC103" i="4"/>
  <c r="AB103" i="4"/>
  <c r="W103" i="4"/>
  <c r="U103" i="4"/>
  <c r="Q103" i="4"/>
  <c r="R103" i="4" s="1"/>
  <c r="P103" i="4"/>
  <c r="E103" i="4"/>
  <c r="F103" i="4" s="1"/>
  <c r="D103" i="4"/>
  <c r="C103" i="4"/>
  <c r="AG102" i="4"/>
  <c r="AD102" i="4"/>
  <c r="AC102" i="4"/>
  <c r="AB102" i="4"/>
  <c r="R102" i="4"/>
  <c r="Q102" i="4"/>
  <c r="P102" i="4"/>
  <c r="F102" i="4"/>
  <c r="E102" i="4"/>
  <c r="D102" i="4"/>
  <c r="C102" i="4"/>
  <c r="AD101" i="4"/>
  <c r="AC101" i="4"/>
  <c r="AB101" i="4"/>
  <c r="U101" i="4"/>
  <c r="S101" i="4"/>
  <c r="T101" i="4" s="1"/>
  <c r="V101" i="4" s="1"/>
  <c r="X101" i="4" s="1"/>
  <c r="Y101" i="4" s="1"/>
  <c r="Q101" i="4"/>
  <c r="R101" i="4" s="1"/>
  <c r="P101" i="4"/>
  <c r="F101" i="4"/>
  <c r="E101" i="4"/>
  <c r="D101" i="4"/>
  <c r="C101" i="4"/>
  <c r="W101" i="4" s="1"/>
  <c r="AI100" i="4"/>
  <c r="AG100" i="4"/>
  <c r="AF100" i="4"/>
  <c r="AH100" i="4" s="1"/>
  <c r="AJ100" i="4" s="1"/>
  <c r="AK100" i="4" s="1"/>
  <c r="AL100" i="4" s="1"/>
  <c r="AE100" i="4"/>
  <c r="AD100" i="4"/>
  <c r="AC100" i="4"/>
  <c r="AB100" i="4"/>
  <c r="R100" i="4"/>
  <c r="Q100" i="4"/>
  <c r="P100" i="4"/>
  <c r="E100" i="4"/>
  <c r="F100" i="4" s="1"/>
  <c r="D100" i="4"/>
  <c r="C100" i="4"/>
  <c r="AI99" i="4"/>
  <c r="AD99" i="4"/>
  <c r="AC99" i="4"/>
  <c r="AB99" i="4"/>
  <c r="W99" i="4"/>
  <c r="U99" i="4"/>
  <c r="Q99" i="4"/>
  <c r="R99" i="4" s="1"/>
  <c r="P99" i="4"/>
  <c r="E99" i="4"/>
  <c r="F99" i="4" s="1"/>
  <c r="D99" i="4"/>
  <c r="C99" i="4"/>
  <c r="AI98" i="4"/>
  <c r="AD98" i="4"/>
  <c r="AC98" i="4"/>
  <c r="AB98" i="4"/>
  <c r="R98" i="4"/>
  <c r="Q98" i="4"/>
  <c r="P98" i="4"/>
  <c r="K98" i="4"/>
  <c r="I98" i="4"/>
  <c r="E98" i="4"/>
  <c r="F98" i="4" s="1"/>
  <c r="D98" i="4"/>
  <c r="C98" i="4"/>
  <c r="AC97" i="4"/>
  <c r="AD97" i="4" s="1"/>
  <c r="AB97" i="4"/>
  <c r="Q97" i="4"/>
  <c r="R97" i="4" s="1"/>
  <c r="P97" i="4"/>
  <c r="E97" i="4"/>
  <c r="F97" i="4" s="1"/>
  <c r="D97" i="4"/>
  <c r="C97" i="4"/>
  <c r="AD96" i="4"/>
  <c r="AC96" i="4"/>
  <c r="AB96" i="4"/>
  <c r="AG96" i="4" s="1"/>
  <c r="W96" i="4"/>
  <c r="Q96" i="4"/>
  <c r="R96" i="4" s="1"/>
  <c r="S96" i="4" s="1"/>
  <c r="P96" i="4"/>
  <c r="K96" i="4"/>
  <c r="I96" i="4"/>
  <c r="F96" i="4"/>
  <c r="G96" i="4" s="1"/>
  <c r="E96" i="4"/>
  <c r="D96" i="4"/>
  <c r="H96" i="4" s="1"/>
  <c r="J96" i="4" s="1"/>
  <c r="L96" i="4" s="1"/>
  <c r="M96" i="4" s="1"/>
  <c r="C96" i="4"/>
  <c r="AI96" i="4" s="1"/>
  <c r="AI95" i="4"/>
  <c r="AG95" i="4"/>
  <c r="AD95" i="4"/>
  <c r="AC95" i="4"/>
  <c r="AB95" i="4"/>
  <c r="S95" i="4"/>
  <c r="Q95" i="4"/>
  <c r="R95" i="4" s="1"/>
  <c r="P95" i="4"/>
  <c r="K95" i="4"/>
  <c r="I95" i="4"/>
  <c r="H95" i="4"/>
  <c r="J95" i="4" s="1"/>
  <c r="L95" i="4" s="1"/>
  <c r="M95" i="4" s="1"/>
  <c r="N95" i="4" s="1"/>
  <c r="G95" i="4"/>
  <c r="F95" i="4"/>
  <c r="E95" i="4"/>
  <c r="D95" i="4"/>
  <c r="C95" i="4"/>
  <c r="AI94" i="4"/>
  <c r="AC94" i="4"/>
  <c r="AD94" i="4" s="1"/>
  <c r="AB94" i="4"/>
  <c r="R94" i="4"/>
  <c r="Q94" i="4"/>
  <c r="P94" i="4"/>
  <c r="F94" i="4"/>
  <c r="E94" i="4"/>
  <c r="D94" i="4"/>
  <c r="K94" i="4" s="1"/>
  <c r="C94" i="4"/>
  <c r="AI93" i="4"/>
  <c r="AG93" i="4"/>
  <c r="AD93" i="4"/>
  <c r="AE93" i="4" s="1"/>
  <c r="AC93" i="4"/>
  <c r="AB93" i="4"/>
  <c r="AF93" i="4" s="1"/>
  <c r="AH93" i="4" s="1"/>
  <c r="AJ93" i="4" s="1"/>
  <c r="AK93" i="4" s="1"/>
  <c r="AL93" i="4" s="1"/>
  <c r="C93" i="4"/>
  <c r="AI92" i="4"/>
  <c r="AG92" i="4"/>
  <c r="AC92" i="4"/>
  <c r="AD92" i="4" s="1"/>
  <c r="AB92" i="4"/>
  <c r="C92" i="4"/>
  <c r="AC91" i="4"/>
  <c r="AD91" i="4" s="1"/>
  <c r="AB91" i="4"/>
  <c r="C91" i="4"/>
  <c r="AI90" i="4"/>
  <c r="AG90" i="4"/>
  <c r="AH90" i="4" s="1"/>
  <c r="AD90" i="4"/>
  <c r="AC90" i="4"/>
  <c r="AB90" i="4"/>
  <c r="AF90" i="4" s="1"/>
  <c r="C90" i="4"/>
  <c r="AE90" i="4" s="1"/>
  <c r="AI89" i="4"/>
  <c r="AG89" i="4"/>
  <c r="AC89" i="4"/>
  <c r="AD89" i="4" s="1"/>
  <c r="AB89" i="4"/>
  <c r="C89" i="4"/>
  <c r="AI88" i="4"/>
  <c r="AD88" i="4"/>
  <c r="AC88" i="4"/>
  <c r="D8" i="5" s="1"/>
  <c r="AB88" i="4"/>
  <c r="C88" i="4"/>
  <c r="AC87" i="4"/>
  <c r="AD87" i="4" s="1"/>
  <c r="AB87" i="4"/>
  <c r="C87" i="4"/>
  <c r="AD86" i="4"/>
  <c r="AC86" i="4"/>
  <c r="D7" i="5" s="1"/>
  <c r="AB86" i="4"/>
  <c r="C86" i="4"/>
  <c r="AI85" i="4"/>
  <c r="AG85" i="4"/>
  <c r="AE85" i="4"/>
  <c r="AD85" i="4"/>
  <c r="AC85" i="4"/>
  <c r="AB85" i="4"/>
  <c r="C85" i="4"/>
  <c r="AC84" i="4"/>
  <c r="AD84" i="4" s="1"/>
  <c r="AB84" i="4"/>
  <c r="C84" i="4"/>
  <c r="AC83" i="4"/>
  <c r="AD83" i="4" s="1"/>
  <c r="AB83" i="4"/>
  <c r="C83" i="4"/>
  <c r="AD82" i="4"/>
  <c r="AC82" i="4"/>
  <c r="AB82" i="4"/>
  <c r="C82" i="4"/>
  <c r="AI81" i="4"/>
  <c r="AG81" i="4"/>
  <c r="AD81" i="4"/>
  <c r="AE81" i="4" s="1"/>
  <c r="AF81" i="4" s="1"/>
  <c r="AC81" i="4"/>
  <c r="AB81" i="4"/>
  <c r="C81" i="4"/>
  <c r="AI80" i="4"/>
  <c r="AG80" i="4"/>
  <c r="AH80" i="4" s="1"/>
  <c r="AF80" i="4"/>
  <c r="AE80" i="4"/>
  <c r="AD80" i="4"/>
  <c r="AC80" i="4"/>
  <c r="AB80" i="4"/>
  <c r="C80" i="4"/>
  <c r="AE79" i="4"/>
  <c r="AF79" i="4" s="1"/>
  <c r="AD79" i="4"/>
  <c r="AC79" i="4"/>
  <c r="AB79" i="4"/>
  <c r="C79" i="4"/>
  <c r="AI78" i="4"/>
  <c r="AD78" i="4"/>
  <c r="AC78" i="4"/>
  <c r="AB78" i="4"/>
  <c r="C78" i="4"/>
  <c r="AE78" i="4" s="1"/>
  <c r="AI77" i="4"/>
  <c r="AG77" i="4"/>
  <c r="AC77" i="4"/>
  <c r="AD77" i="4" s="1"/>
  <c r="AB77" i="4"/>
  <c r="C77" i="4"/>
  <c r="AD76" i="4"/>
  <c r="AC76" i="4"/>
  <c r="AB76" i="4"/>
  <c r="C76" i="4"/>
  <c r="AE75" i="4"/>
  <c r="AD75" i="4"/>
  <c r="AC75" i="4"/>
  <c r="AB75" i="4"/>
  <c r="C75" i="4"/>
  <c r="AI74" i="4"/>
  <c r="AG74" i="4"/>
  <c r="AD74" i="4"/>
  <c r="AC74" i="4"/>
  <c r="AB74" i="4"/>
  <c r="C74" i="4"/>
  <c r="AI73" i="4"/>
  <c r="AG73" i="4"/>
  <c r="AC73" i="4"/>
  <c r="AD73" i="4" s="1"/>
  <c r="AB73" i="4"/>
  <c r="C73" i="4"/>
  <c r="AI72" i="4"/>
  <c r="AD72" i="4"/>
  <c r="AC72" i="4"/>
  <c r="AB72" i="4"/>
  <c r="C72" i="4"/>
  <c r="AG72" i="4" s="1"/>
  <c r="AC71" i="4"/>
  <c r="AD71" i="4" s="1"/>
  <c r="AB71" i="4"/>
  <c r="C71" i="4"/>
  <c r="AI70" i="4"/>
  <c r="AG70" i="4"/>
  <c r="AD70" i="4"/>
  <c r="AC70" i="4"/>
  <c r="AB70" i="4"/>
  <c r="C70" i="4"/>
  <c r="AI69" i="4"/>
  <c r="AG69" i="4"/>
  <c r="AC69" i="4"/>
  <c r="AD69" i="4" s="1"/>
  <c r="AB69" i="4"/>
  <c r="C69" i="4"/>
  <c r="AD68" i="4"/>
  <c r="AC68" i="4"/>
  <c r="AB68" i="4"/>
  <c r="C68" i="4"/>
  <c r="AC67" i="4"/>
  <c r="AD67" i="4" s="1"/>
  <c r="AB67" i="4"/>
  <c r="C67" i="4"/>
  <c r="AI66" i="4"/>
  <c r="AG66" i="4"/>
  <c r="AD66" i="4"/>
  <c r="AC66" i="4"/>
  <c r="AB66" i="4"/>
  <c r="C66" i="4"/>
  <c r="AI65" i="4"/>
  <c r="AG65" i="4"/>
  <c r="AE65" i="4"/>
  <c r="AF65" i="4" s="1"/>
  <c r="AH65" i="4" s="1"/>
  <c r="AJ65" i="4" s="1"/>
  <c r="AK65" i="4" s="1"/>
  <c r="AC65" i="4"/>
  <c r="AD65" i="4" s="1"/>
  <c r="AB65" i="4"/>
  <c r="C65" i="4"/>
  <c r="AI64" i="4"/>
  <c r="AG64" i="4"/>
  <c r="AD64" i="4"/>
  <c r="AE64" i="4" s="1"/>
  <c r="AF64" i="4" s="1"/>
  <c r="AH64" i="4" s="1"/>
  <c r="AC64" i="4"/>
  <c r="AB64" i="4"/>
  <c r="C64" i="4"/>
  <c r="AD63" i="4"/>
  <c r="AC63" i="4"/>
  <c r="AB63" i="4"/>
  <c r="C63" i="4"/>
  <c r="AD62" i="4"/>
  <c r="AC62" i="4"/>
  <c r="AB62" i="4"/>
  <c r="C62" i="4"/>
  <c r="AI61" i="4"/>
  <c r="AJ61" i="4" s="1"/>
  <c r="AK61" i="4" s="1"/>
  <c r="AL61" i="4" s="1"/>
  <c r="AG61" i="4"/>
  <c r="AE61" i="4"/>
  <c r="AF61" i="4" s="1"/>
  <c r="AH61" i="4" s="1"/>
  <c r="AD61" i="4"/>
  <c r="AC61" i="4"/>
  <c r="AB61" i="4"/>
  <c r="C61" i="4"/>
  <c r="AC60" i="4"/>
  <c r="AD60" i="4" s="1"/>
  <c r="AB60" i="4"/>
  <c r="R60" i="4"/>
  <c r="Q60" i="4"/>
  <c r="P60" i="4"/>
  <c r="C60" i="4"/>
  <c r="AC59" i="4"/>
  <c r="AD59" i="4" s="1"/>
  <c r="AB59" i="4"/>
  <c r="R59" i="4"/>
  <c r="Q59" i="4"/>
  <c r="P59" i="4"/>
  <c r="C59" i="4"/>
  <c r="AI59" i="4" s="1"/>
  <c r="AD58" i="4"/>
  <c r="AC58" i="4"/>
  <c r="AB58" i="4"/>
  <c r="W58" i="4"/>
  <c r="U58" i="4"/>
  <c r="Q58" i="4"/>
  <c r="R58" i="4" s="1"/>
  <c r="P58" i="4"/>
  <c r="C58" i="4"/>
  <c r="AI58" i="4" s="1"/>
  <c r="AI57" i="4"/>
  <c r="AG57" i="4"/>
  <c r="AE57" i="4"/>
  <c r="AD57" i="4"/>
  <c r="AC57" i="4"/>
  <c r="AB57" i="4"/>
  <c r="AF57" i="4" s="1"/>
  <c r="AH57" i="4" s="1"/>
  <c r="AJ57" i="4" s="1"/>
  <c r="AK57" i="4" s="1"/>
  <c r="U57" i="4"/>
  <c r="S57" i="4"/>
  <c r="T57" i="4" s="1"/>
  <c r="V57" i="4" s="1"/>
  <c r="X57" i="4" s="1"/>
  <c r="Y57" i="4" s="1"/>
  <c r="R57" i="4"/>
  <c r="Q57" i="4"/>
  <c r="P57" i="4"/>
  <c r="C57" i="4"/>
  <c r="W57" i="4" s="1"/>
  <c r="AC56" i="4"/>
  <c r="AD56" i="4" s="1"/>
  <c r="AB56" i="4"/>
  <c r="X56" i="4"/>
  <c r="Y56" i="4" s="1"/>
  <c r="W56" i="4"/>
  <c r="U56" i="4"/>
  <c r="R56" i="4"/>
  <c r="S56" i="4" s="1"/>
  <c r="T56" i="4" s="1"/>
  <c r="V56" i="4" s="1"/>
  <c r="Q56" i="4"/>
  <c r="P56" i="4"/>
  <c r="C56" i="4"/>
  <c r="AC55" i="4"/>
  <c r="AD55" i="4" s="1"/>
  <c r="AB55" i="4"/>
  <c r="Q55" i="4"/>
  <c r="R55" i="4" s="1"/>
  <c r="P55" i="4"/>
  <c r="C55" i="4"/>
  <c r="AI54" i="4"/>
  <c r="AE54" i="4"/>
  <c r="AF54" i="4" s="1"/>
  <c r="AD54" i="4"/>
  <c r="AC54" i="4"/>
  <c r="AB54" i="4"/>
  <c r="U54" i="4"/>
  <c r="Q54" i="4"/>
  <c r="R54" i="4" s="1"/>
  <c r="P54" i="4"/>
  <c r="C54" i="4"/>
  <c r="W54" i="4" s="1"/>
  <c r="AC53" i="4"/>
  <c r="AD53" i="4" s="1"/>
  <c r="AB53" i="4"/>
  <c r="U53" i="4"/>
  <c r="Q53" i="4"/>
  <c r="R53" i="4" s="1"/>
  <c r="P53" i="4"/>
  <c r="C53" i="4"/>
  <c r="AG53" i="4" s="1"/>
  <c r="AC52" i="4"/>
  <c r="AD52" i="4" s="1"/>
  <c r="AB52" i="4"/>
  <c r="W52" i="4"/>
  <c r="Q52" i="4"/>
  <c r="R52" i="4" s="1"/>
  <c r="P52" i="4"/>
  <c r="C52" i="4"/>
  <c r="AI52" i="4" s="1"/>
  <c r="AC51" i="4"/>
  <c r="AD51" i="4" s="1"/>
  <c r="AB51" i="4"/>
  <c r="U51" i="4"/>
  <c r="T51" i="4"/>
  <c r="V51" i="4" s="1"/>
  <c r="S51" i="4"/>
  <c r="R51" i="4"/>
  <c r="Q51" i="4"/>
  <c r="D6" i="5" s="1"/>
  <c r="P51" i="4"/>
  <c r="C51" i="4"/>
  <c r="AI50" i="4"/>
  <c r="AC50" i="4"/>
  <c r="AD50" i="4" s="1"/>
  <c r="AB50" i="4"/>
  <c r="U50" i="4"/>
  <c r="R50" i="4"/>
  <c r="Q50" i="4"/>
  <c r="P50" i="4"/>
  <c r="C50" i="4"/>
  <c r="AC49" i="4"/>
  <c r="AD49" i="4" s="1"/>
  <c r="AE49" i="4" s="1"/>
  <c r="AB49" i="4"/>
  <c r="U49" i="4"/>
  <c r="Q49" i="4"/>
  <c r="R49" i="4" s="1"/>
  <c r="P49" i="4"/>
  <c r="C49" i="4"/>
  <c r="W49" i="4" s="1"/>
  <c r="AI48" i="4"/>
  <c r="AG48" i="4"/>
  <c r="AD48" i="4"/>
  <c r="AC48" i="4"/>
  <c r="AB48" i="4"/>
  <c r="Q48" i="4"/>
  <c r="R48" i="4" s="1"/>
  <c r="P48" i="4"/>
  <c r="C48" i="4"/>
  <c r="AC47" i="4"/>
  <c r="AD47" i="4" s="1"/>
  <c r="AB47" i="4"/>
  <c r="W47" i="4"/>
  <c r="S47" i="4"/>
  <c r="T47" i="4" s="1"/>
  <c r="Q47" i="4"/>
  <c r="R47" i="4" s="1"/>
  <c r="P47" i="4"/>
  <c r="C47" i="4"/>
  <c r="AI47" i="4" s="1"/>
  <c r="AD46" i="4"/>
  <c r="AC46" i="4"/>
  <c r="AB46" i="4"/>
  <c r="Q46" i="4"/>
  <c r="R46" i="4" s="1"/>
  <c r="P46" i="4"/>
  <c r="C46" i="4"/>
  <c r="AD45" i="4"/>
  <c r="AC45" i="4"/>
  <c r="AB45" i="4"/>
  <c r="U45" i="4"/>
  <c r="R45" i="4"/>
  <c r="Q45" i="4"/>
  <c r="P45" i="4"/>
  <c r="C45" i="4"/>
  <c r="AG45" i="4" s="1"/>
  <c r="AG44" i="4"/>
  <c r="AD44" i="4"/>
  <c r="AC44" i="4"/>
  <c r="AB44" i="4"/>
  <c r="W44" i="4"/>
  <c r="S44" i="4"/>
  <c r="Q44" i="4"/>
  <c r="R44" i="4" s="1"/>
  <c r="P44" i="4"/>
  <c r="T44" i="4" s="1"/>
  <c r="C44" i="4"/>
  <c r="AD43" i="4"/>
  <c r="AC43" i="4"/>
  <c r="AB43" i="4"/>
  <c r="R43" i="4"/>
  <c r="Q43" i="4"/>
  <c r="P43" i="4"/>
  <c r="C43" i="4"/>
  <c r="AI42" i="4"/>
  <c r="AE42" i="4"/>
  <c r="AD42" i="4"/>
  <c r="AC42" i="4"/>
  <c r="AB42" i="4"/>
  <c r="W42" i="4"/>
  <c r="U42" i="4"/>
  <c r="Q42" i="4"/>
  <c r="R42" i="4" s="1"/>
  <c r="P42" i="4"/>
  <c r="C42" i="4"/>
  <c r="AG42" i="4" s="1"/>
  <c r="AG41" i="4"/>
  <c r="AC41" i="4"/>
  <c r="AD41" i="4" s="1"/>
  <c r="AB41" i="4"/>
  <c r="Y41" i="4"/>
  <c r="Z41" i="4" s="1"/>
  <c r="U41" i="4"/>
  <c r="T41" i="4"/>
  <c r="V41" i="4" s="1"/>
  <c r="X41" i="4" s="1"/>
  <c r="S41" i="4"/>
  <c r="Q41" i="4"/>
  <c r="R41" i="4" s="1"/>
  <c r="P41" i="4"/>
  <c r="W41" i="4" s="1"/>
  <c r="C41" i="4"/>
  <c r="AC40" i="4"/>
  <c r="AD40" i="4" s="1"/>
  <c r="AB40" i="4"/>
  <c r="W40" i="4"/>
  <c r="U40" i="4"/>
  <c r="R40" i="4"/>
  <c r="Q40" i="4"/>
  <c r="P40" i="4"/>
  <c r="C40" i="4"/>
  <c r="AG40" i="4" s="1"/>
  <c r="AC39" i="4"/>
  <c r="AD39" i="4" s="1"/>
  <c r="AB39" i="4"/>
  <c r="Q39" i="4"/>
  <c r="R39" i="4" s="1"/>
  <c r="P39" i="4"/>
  <c r="C39" i="4"/>
  <c r="AG38" i="4"/>
  <c r="AD38" i="4"/>
  <c r="AC38" i="4"/>
  <c r="AB38" i="4"/>
  <c r="R38" i="4"/>
  <c r="Q38" i="4"/>
  <c r="P38" i="4"/>
  <c r="C38" i="4"/>
  <c r="AE37" i="4"/>
  <c r="AF37" i="4" s="1"/>
  <c r="AD37" i="4"/>
  <c r="AC37" i="4"/>
  <c r="AB37" i="4"/>
  <c r="W37" i="4"/>
  <c r="R37" i="4"/>
  <c r="Q37" i="4"/>
  <c r="P37" i="4"/>
  <c r="U37" i="4" s="1"/>
  <c r="C37" i="4"/>
  <c r="AD36" i="4"/>
  <c r="AC36" i="4"/>
  <c r="AB36" i="4"/>
  <c r="AG36" i="4" s="1"/>
  <c r="W36" i="4"/>
  <c r="U36" i="4"/>
  <c r="Q36" i="4"/>
  <c r="R36" i="4" s="1"/>
  <c r="P36" i="4"/>
  <c r="C36" i="4"/>
  <c r="AE36" i="4" s="1"/>
  <c r="AF36" i="4" s="1"/>
  <c r="AH36" i="4" s="1"/>
  <c r="AC35" i="4"/>
  <c r="AD35" i="4" s="1"/>
  <c r="AB35" i="4"/>
  <c r="R35" i="4"/>
  <c r="Q35" i="4"/>
  <c r="P35" i="4"/>
  <c r="C35" i="4"/>
  <c r="AI34" i="4"/>
  <c r="AC34" i="4"/>
  <c r="AD34" i="4" s="1"/>
  <c r="AB34" i="4"/>
  <c r="W34" i="4"/>
  <c r="U34" i="4"/>
  <c r="Q34" i="4"/>
  <c r="R34" i="4" s="1"/>
  <c r="P34" i="4"/>
  <c r="C34" i="4"/>
  <c r="AG34" i="4" s="1"/>
  <c r="AD33" i="4"/>
  <c r="AE33" i="4" s="1"/>
  <c r="AC33" i="4"/>
  <c r="AB33" i="4"/>
  <c r="U33" i="4"/>
  <c r="S33" i="4"/>
  <c r="T33" i="4" s="1"/>
  <c r="V33" i="4" s="1"/>
  <c r="R33" i="4"/>
  <c r="Q33" i="4"/>
  <c r="P33" i="4"/>
  <c r="C33" i="4"/>
  <c r="AC32" i="4"/>
  <c r="AD32" i="4" s="1"/>
  <c r="AB32" i="4"/>
  <c r="Q32" i="4"/>
  <c r="R32" i="4" s="1"/>
  <c r="P32" i="4"/>
  <c r="I32" i="4"/>
  <c r="H32" i="4"/>
  <c r="J32" i="4" s="1"/>
  <c r="F32" i="4"/>
  <c r="G32" i="4" s="1"/>
  <c r="E32" i="4"/>
  <c r="D32" i="4"/>
  <c r="C32" i="4"/>
  <c r="S32" i="4" s="1"/>
  <c r="T32" i="4" s="1"/>
  <c r="AE31" i="4"/>
  <c r="AC31" i="4"/>
  <c r="AD31" i="4" s="1"/>
  <c r="AB31" i="4"/>
  <c r="AI31" i="4" s="1"/>
  <c r="W31" i="4"/>
  <c r="Q31" i="4"/>
  <c r="R31" i="4" s="1"/>
  <c r="S31" i="4" s="1"/>
  <c r="T31" i="4" s="1"/>
  <c r="P31" i="4"/>
  <c r="K31" i="4"/>
  <c r="I31" i="4"/>
  <c r="E31" i="4"/>
  <c r="F31" i="4" s="1"/>
  <c r="D31" i="4"/>
  <c r="C31" i="4"/>
  <c r="AE30" i="4"/>
  <c r="AD30" i="4"/>
  <c r="AC30" i="4"/>
  <c r="AB30" i="4"/>
  <c r="AF30" i="4" s="1"/>
  <c r="Q30" i="4"/>
  <c r="R30" i="4" s="1"/>
  <c r="P30" i="4"/>
  <c r="K30" i="4"/>
  <c r="E30" i="4"/>
  <c r="F30" i="4" s="1"/>
  <c r="D30" i="4"/>
  <c r="C30" i="4"/>
  <c r="AE29" i="4"/>
  <c r="AD29" i="4"/>
  <c r="AC29" i="4"/>
  <c r="AB29" i="4"/>
  <c r="W29" i="4"/>
  <c r="U29" i="4"/>
  <c r="Q29" i="4"/>
  <c r="R29" i="4" s="1"/>
  <c r="P29" i="4"/>
  <c r="E29" i="4"/>
  <c r="F29" i="4" s="1"/>
  <c r="D29" i="4"/>
  <c r="K29" i="4" s="1"/>
  <c r="C29" i="4"/>
  <c r="AE28" i="4"/>
  <c r="AC28" i="4"/>
  <c r="AD28" i="4" s="1"/>
  <c r="AB28" i="4"/>
  <c r="AF28" i="4" s="1"/>
  <c r="W28" i="4"/>
  <c r="Q28" i="4"/>
  <c r="R28" i="4" s="1"/>
  <c r="P28" i="4"/>
  <c r="I28" i="4"/>
  <c r="F28" i="4"/>
  <c r="E28" i="4"/>
  <c r="D28" i="4"/>
  <c r="C28" i="4"/>
  <c r="AD27" i="4"/>
  <c r="AC27" i="4"/>
  <c r="AB27" i="4"/>
  <c r="AI27" i="4" s="1"/>
  <c r="W27" i="4"/>
  <c r="R27" i="4"/>
  <c r="S27" i="4" s="1"/>
  <c r="Q27" i="4"/>
  <c r="P27" i="4"/>
  <c r="U27" i="4" s="1"/>
  <c r="K27" i="4"/>
  <c r="I27" i="4"/>
  <c r="F27" i="4"/>
  <c r="G27" i="4" s="1"/>
  <c r="H27" i="4" s="1"/>
  <c r="J27" i="4" s="1"/>
  <c r="L27" i="4" s="1"/>
  <c r="M27" i="4" s="1"/>
  <c r="N27" i="4" s="1"/>
  <c r="E27" i="4"/>
  <c r="D27" i="4"/>
  <c r="C27" i="4"/>
  <c r="AC26" i="4"/>
  <c r="AD26" i="4" s="1"/>
  <c r="AB26" i="4"/>
  <c r="Q26" i="4"/>
  <c r="R26" i="4" s="1"/>
  <c r="P26" i="4"/>
  <c r="K26" i="4"/>
  <c r="I26" i="4"/>
  <c r="H26" i="4"/>
  <c r="J26" i="4" s="1"/>
  <c r="L26" i="4" s="1"/>
  <c r="M26" i="4" s="1"/>
  <c r="N26" i="4" s="1"/>
  <c r="G26" i="4"/>
  <c r="F26" i="4"/>
  <c r="E26" i="4"/>
  <c r="D26" i="4"/>
  <c r="C26" i="4"/>
  <c r="W26" i="4" s="1"/>
  <c r="AG25" i="4"/>
  <c r="AC25" i="4"/>
  <c r="AD25" i="4" s="1"/>
  <c r="AB25" i="4"/>
  <c r="S25" i="4"/>
  <c r="Q25" i="4"/>
  <c r="R25" i="4" s="1"/>
  <c r="P25" i="4"/>
  <c r="K25" i="4"/>
  <c r="I25" i="4"/>
  <c r="E25" i="4"/>
  <c r="D5" i="5" s="1"/>
  <c r="D25" i="4"/>
  <c r="C25" i="4"/>
  <c r="AI24" i="4"/>
  <c r="AG24" i="4"/>
  <c r="AD24" i="4"/>
  <c r="AE24" i="4" s="1"/>
  <c r="AF24" i="4" s="1"/>
  <c r="AH24" i="4" s="1"/>
  <c r="AJ24" i="4" s="1"/>
  <c r="AK24" i="4" s="1"/>
  <c r="AL24" i="4" s="1"/>
  <c r="AC24" i="4"/>
  <c r="AB24" i="4"/>
  <c r="U24" i="4"/>
  <c r="R24" i="4"/>
  <c r="Q24" i="4"/>
  <c r="P24" i="4"/>
  <c r="W24" i="4" s="1"/>
  <c r="K24" i="4"/>
  <c r="E24" i="4"/>
  <c r="F24" i="4" s="1"/>
  <c r="G24" i="4" s="1"/>
  <c r="D24" i="4"/>
  <c r="H24" i="4" s="1"/>
  <c r="C24" i="4"/>
  <c r="AD23" i="4"/>
  <c r="AC23" i="4"/>
  <c r="AB23" i="4"/>
  <c r="U23" i="4"/>
  <c r="Q23" i="4"/>
  <c r="R23" i="4" s="1"/>
  <c r="P23" i="4"/>
  <c r="F23" i="4"/>
  <c r="E23" i="4"/>
  <c r="D4" i="5" s="1"/>
  <c r="D23" i="4"/>
  <c r="C23" i="4"/>
  <c r="AE23" i="4" s="1"/>
  <c r="AF23" i="4" s="1"/>
  <c r="AI22" i="4"/>
  <c r="AG22" i="4"/>
  <c r="AC22" i="4"/>
  <c r="AD22" i="4" s="1"/>
  <c r="AB22" i="4"/>
  <c r="W22" i="4"/>
  <c r="Q22" i="4"/>
  <c r="R22" i="4" s="1"/>
  <c r="P22" i="4"/>
  <c r="F22" i="4"/>
  <c r="E22" i="4"/>
  <c r="D22" i="4"/>
  <c r="C22" i="4"/>
  <c r="AD21" i="4"/>
  <c r="AC21" i="4"/>
  <c r="AB21" i="4"/>
  <c r="R21" i="4"/>
  <c r="Q21" i="4"/>
  <c r="P21" i="4"/>
  <c r="G21" i="4"/>
  <c r="E21" i="4"/>
  <c r="F21" i="4" s="1"/>
  <c r="D21" i="4"/>
  <c r="H21" i="4" s="1"/>
  <c r="C21" i="4"/>
  <c r="U21" i="4" s="1"/>
  <c r="AD20" i="4"/>
  <c r="AC20" i="4"/>
  <c r="AB20" i="4"/>
  <c r="W20" i="4"/>
  <c r="U20" i="4"/>
  <c r="Q20" i="4"/>
  <c r="R20" i="4" s="1"/>
  <c r="P20" i="4"/>
  <c r="I20" i="4"/>
  <c r="G20" i="4"/>
  <c r="F20" i="4"/>
  <c r="E20" i="4"/>
  <c r="D20" i="4"/>
  <c r="C20" i="4"/>
  <c r="AI19" i="4"/>
  <c r="AC19" i="4"/>
  <c r="AD19" i="4" s="1"/>
  <c r="AB19" i="4"/>
  <c r="AG19" i="4" s="1"/>
  <c r="W19" i="4"/>
  <c r="R19" i="4"/>
  <c r="S19" i="4" s="1"/>
  <c r="Q19" i="4"/>
  <c r="P19" i="4"/>
  <c r="U19" i="4" s="1"/>
  <c r="K19" i="4"/>
  <c r="I19" i="4"/>
  <c r="F19" i="4"/>
  <c r="E19" i="4"/>
  <c r="D3" i="5" s="1"/>
  <c r="D19" i="4"/>
  <c r="C19" i="4"/>
  <c r="AC18" i="4"/>
  <c r="AD18" i="4" s="1"/>
  <c r="AB18" i="4"/>
  <c r="Q18" i="4"/>
  <c r="R18" i="4" s="1"/>
  <c r="P18" i="4"/>
  <c r="K18" i="4"/>
  <c r="J18" i="4"/>
  <c r="L18" i="4" s="1"/>
  <c r="M18" i="4" s="1"/>
  <c r="N18" i="4" s="1"/>
  <c r="I18" i="4"/>
  <c r="H18" i="4"/>
  <c r="G18" i="4"/>
  <c r="F18" i="4"/>
  <c r="E18" i="4"/>
  <c r="D2" i="5" s="1"/>
  <c r="D18" i="4"/>
  <c r="C18" i="4"/>
  <c r="AG17" i="4"/>
  <c r="AC17" i="4"/>
  <c r="AD17" i="4" s="1"/>
  <c r="AB17" i="4"/>
  <c r="S17" i="4"/>
  <c r="Q17" i="4"/>
  <c r="R17" i="4" s="1"/>
  <c r="P17" i="4"/>
  <c r="K17" i="4"/>
  <c r="I17" i="4"/>
  <c r="E17" i="4"/>
  <c r="F17" i="4" s="1"/>
  <c r="D17" i="4"/>
  <c r="H17" i="4" s="1"/>
  <c r="J17" i="4" s="1"/>
  <c r="L17" i="4" s="1"/>
  <c r="M17" i="4" s="1"/>
  <c r="C17" i="4"/>
  <c r="G17" i="4" s="1"/>
  <c r="AI16" i="4"/>
  <c r="AG16" i="4"/>
  <c r="AE16" i="4"/>
  <c r="AF16" i="4" s="1"/>
  <c r="AH16" i="4" s="1"/>
  <c r="AJ16" i="4" s="1"/>
  <c r="AK16" i="4" s="1"/>
  <c r="AL16" i="4" s="1"/>
  <c r="AD16" i="4"/>
  <c r="AC16" i="4"/>
  <c r="AB16" i="4"/>
  <c r="Q16" i="4"/>
  <c r="R16" i="4" s="1"/>
  <c r="P16" i="4"/>
  <c r="K16" i="4"/>
  <c r="G16" i="4"/>
  <c r="F16" i="4"/>
  <c r="E16" i="4"/>
  <c r="D16" i="4"/>
  <c r="C16" i="4"/>
  <c r="AD15" i="4"/>
  <c r="AC15" i="4"/>
  <c r="AB15" i="4"/>
  <c r="R15" i="4"/>
  <c r="Q15" i="4"/>
  <c r="P15" i="4"/>
  <c r="F15" i="4"/>
  <c r="E15" i="4"/>
  <c r="D15" i="4"/>
  <c r="C15" i="4"/>
  <c r="S15" i="4" s="1"/>
  <c r="AI14" i="4"/>
  <c r="AC14" i="4"/>
  <c r="AD14" i="4" s="1"/>
  <c r="AB14" i="4"/>
  <c r="U14" i="4"/>
  <c r="Q14" i="4"/>
  <c r="R14" i="4" s="1"/>
  <c r="P14" i="4"/>
  <c r="W14" i="4" s="1"/>
  <c r="K14" i="4"/>
  <c r="F14" i="4"/>
  <c r="E14" i="4"/>
  <c r="D14" i="4"/>
  <c r="C14" i="4"/>
  <c r="AE13" i="4"/>
  <c r="AD13" i="4"/>
  <c r="AC13" i="4"/>
  <c r="AB13" i="4"/>
  <c r="W13" i="4"/>
  <c r="U13" i="4"/>
  <c r="R13" i="4"/>
  <c r="Q13" i="4"/>
  <c r="P13" i="4"/>
  <c r="G13" i="4"/>
  <c r="F13" i="4"/>
  <c r="E13" i="4"/>
  <c r="D13" i="4"/>
  <c r="H13" i="4" s="1"/>
  <c r="C13" i="4"/>
  <c r="S13" i="4" s="1"/>
  <c r="T13" i="4" s="1"/>
  <c r="V13" i="4" s="1"/>
  <c r="X13" i="4" s="1"/>
  <c r="Y13" i="4" s="1"/>
  <c r="AD12" i="4"/>
  <c r="AC12" i="4"/>
  <c r="AB12" i="4"/>
  <c r="Q12" i="4"/>
  <c r="R12" i="4" s="1"/>
  <c r="P12" i="4"/>
  <c r="U12" i="4" s="1"/>
  <c r="E12" i="4"/>
  <c r="F12" i="4" s="1"/>
  <c r="D12" i="4"/>
  <c r="C12" i="4"/>
  <c r="W12" i="4" s="1"/>
  <c r="AD11" i="4"/>
  <c r="AC11" i="4"/>
  <c r="AB11" i="4"/>
  <c r="AG11" i="4" s="1"/>
  <c r="W11" i="4"/>
  <c r="R11" i="4"/>
  <c r="S11" i="4" s="1"/>
  <c r="Q11" i="4"/>
  <c r="P11" i="4"/>
  <c r="U11" i="4" s="1"/>
  <c r="K11" i="4"/>
  <c r="I11" i="4"/>
  <c r="F11" i="4"/>
  <c r="E11" i="4"/>
  <c r="D11" i="4"/>
  <c r="C11" i="4"/>
  <c r="AC10" i="4"/>
  <c r="AD10" i="4" s="1"/>
  <c r="AB10" i="4"/>
  <c r="U10" i="4"/>
  <c r="Q10" i="4"/>
  <c r="R10" i="4" s="1"/>
  <c r="P10" i="4"/>
  <c r="K10" i="4"/>
  <c r="G10" i="4"/>
  <c r="F10" i="4"/>
  <c r="E10" i="4"/>
  <c r="D10" i="4"/>
  <c r="H10" i="4" s="1"/>
  <c r="C10" i="4"/>
  <c r="AG9" i="4"/>
  <c r="AC9" i="4"/>
  <c r="AD9" i="4" s="1"/>
  <c r="AB9" i="4"/>
  <c r="S9" i="4"/>
  <c r="Q9" i="4"/>
  <c r="R9" i="4" s="1"/>
  <c r="P9" i="4"/>
  <c r="K9" i="4"/>
  <c r="I9" i="4"/>
  <c r="F9" i="4"/>
  <c r="E9" i="4"/>
  <c r="D9" i="4"/>
  <c r="C9" i="4"/>
  <c r="AI8" i="4"/>
  <c r="AG8" i="4"/>
  <c r="AC8" i="4"/>
  <c r="AD8" i="4" s="1"/>
  <c r="AB8" i="4"/>
  <c r="U8" i="4"/>
  <c r="R8" i="4"/>
  <c r="Q8" i="4"/>
  <c r="P8" i="4"/>
  <c r="G8" i="4"/>
  <c r="F8" i="4"/>
  <c r="E8" i="4"/>
  <c r="D8" i="4"/>
  <c r="H8" i="4" s="1"/>
  <c r="J8" i="4" s="1"/>
  <c r="C8" i="4"/>
  <c r="I8" i="4" s="1"/>
  <c r="AI7" i="4"/>
  <c r="AG7" i="4"/>
  <c r="AD7" i="4"/>
  <c r="AC7" i="4"/>
  <c r="AB7" i="4"/>
  <c r="R7" i="4"/>
  <c r="Q7" i="4"/>
  <c r="P7" i="4"/>
  <c r="W7" i="4" s="1"/>
  <c r="E7" i="4"/>
  <c r="F7" i="4" s="1"/>
  <c r="D7" i="4"/>
  <c r="C7" i="4"/>
  <c r="AD6" i="4"/>
  <c r="AC6" i="4"/>
  <c r="AB6" i="4"/>
  <c r="R6" i="4"/>
  <c r="Q6" i="4"/>
  <c r="P6" i="4"/>
  <c r="I6" i="4"/>
  <c r="E6" i="4"/>
  <c r="F6" i="4" s="1"/>
  <c r="D6" i="4"/>
  <c r="C6" i="4"/>
  <c r="W6" i="4" s="1"/>
  <c r="AD5" i="4"/>
  <c r="AC5" i="4"/>
  <c r="AB5" i="4"/>
  <c r="AI5" i="4" s="1"/>
  <c r="R5" i="4"/>
  <c r="Q5" i="4"/>
  <c r="P5" i="4"/>
  <c r="E5" i="4"/>
  <c r="F5" i="4" s="1"/>
  <c r="D5" i="4"/>
  <c r="C5" i="4"/>
  <c r="S5" i="4" s="1"/>
  <c r="T5" i="4" s="1"/>
  <c r="AD4" i="4"/>
  <c r="AC4" i="4"/>
  <c r="AB4" i="4"/>
  <c r="AG4" i="4" s="1"/>
  <c r="Q4" i="4"/>
  <c r="R4" i="4" s="1"/>
  <c r="P4" i="4"/>
  <c r="K4" i="4"/>
  <c r="I4" i="4"/>
  <c r="F4" i="4"/>
  <c r="G4" i="4" s="1"/>
  <c r="H4" i="4" s="1"/>
  <c r="J4" i="4" s="1"/>
  <c r="L4" i="4" s="1"/>
  <c r="M4" i="4" s="1"/>
  <c r="E4" i="4"/>
  <c r="D4" i="4"/>
  <c r="C4" i="4"/>
  <c r="U4" i="4" s="1"/>
  <c r="AE3" i="4"/>
  <c r="AD3" i="4"/>
  <c r="AC3" i="4"/>
  <c r="AB3" i="4"/>
  <c r="AI3" i="4" s="1"/>
  <c r="W3" i="4"/>
  <c r="R3" i="4"/>
  <c r="S3" i="4" s="1"/>
  <c r="Q3" i="4"/>
  <c r="P3" i="4"/>
  <c r="K3" i="4"/>
  <c r="I3" i="4"/>
  <c r="F3" i="4"/>
  <c r="G3" i="4" s="1"/>
  <c r="H3" i="4" s="1"/>
  <c r="J3" i="4" s="1"/>
  <c r="L3" i="4" s="1"/>
  <c r="M3" i="4" s="1"/>
  <c r="E3" i="4"/>
  <c r="D3" i="4"/>
  <c r="C3" i="4"/>
  <c r="AD2" i="4"/>
  <c r="AC2" i="4"/>
  <c r="AB2" i="4"/>
  <c r="AI2" i="4" s="1"/>
  <c r="U2" i="4"/>
  <c r="R2" i="4"/>
  <c r="Q2" i="4"/>
  <c r="P2" i="4"/>
  <c r="H2" i="4"/>
  <c r="G2" i="4"/>
  <c r="F2" i="4"/>
  <c r="E2" i="4"/>
  <c r="D2" i="4"/>
  <c r="K2" i="4" s="1"/>
  <c r="C2" i="4"/>
  <c r="S2" i="4" s="1"/>
  <c r="B9" i="3"/>
  <c r="B6" i="3"/>
  <c r="B44" i="2"/>
  <c r="B40" i="2"/>
  <c r="B39" i="2"/>
  <c r="B38" i="2"/>
  <c r="B35" i="2"/>
  <c r="B34" i="2"/>
  <c r="B29" i="2"/>
  <c r="B28" i="2"/>
  <c r="B27" i="2"/>
  <c r="B26" i="2"/>
  <c r="B25" i="2"/>
  <c r="B24" i="2"/>
  <c r="B23" i="2"/>
  <c r="B9" i="2"/>
  <c r="B10" i="2" s="1"/>
  <c r="B8" i="2"/>
  <c r="B6" i="2"/>
  <c r="B17" i="2" s="1"/>
  <c r="B3" i="2"/>
  <c r="B18" i="2" l="1"/>
  <c r="AE8" i="4"/>
  <c r="AF8" i="4" s="1"/>
  <c r="AH8" i="4" s="1"/>
  <c r="AJ8" i="4" s="1"/>
  <c r="AK8" i="4" s="1"/>
  <c r="AL8" i="4" s="1"/>
  <c r="S14" i="4"/>
  <c r="T14" i="4" s="1"/>
  <c r="V14" i="4" s="1"/>
  <c r="X14" i="4" s="1"/>
  <c r="Y14" i="4" s="1"/>
  <c r="Z14" i="4" s="1"/>
  <c r="AL19" i="4"/>
  <c r="AE19" i="4"/>
  <c r="AF19" i="4" s="1"/>
  <c r="AH19" i="4" s="1"/>
  <c r="AJ19" i="4" s="1"/>
  <c r="AK19" i="4" s="1"/>
  <c r="N17" i="4"/>
  <c r="AE25" i="4"/>
  <c r="T2" i="4"/>
  <c r="V2" i="4" s="1"/>
  <c r="X2" i="4" s="1"/>
  <c r="Y2" i="4" s="1"/>
  <c r="Z2" i="4" s="1"/>
  <c r="S16" i="4"/>
  <c r="AE17" i="4"/>
  <c r="AF17" i="4" s="1"/>
  <c r="AH17" i="4" s="1"/>
  <c r="AJ17" i="4" s="1"/>
  <c r="AK17" i="4" s="1"/>
  <c r="AL17" i="4" s="1"/>
  <c r="AE69" i="4"/>
  <c r="AF69" i="4" s="1"/>
  <c r="AH69" i="4" s="1"/>
  <c r="AJ69" i="4" s="1"/>
  <c r="AK69" i="4" s="1"/>
  <c r="AL69" i="4" s="1"/>
  <c r="H7" i="4"/>
  <c r="T15" i="4"/>
  <c r="AE9" i="4"/>
  <c r="AF9" i="4" s="1"/>
  <c r="AH9" i="4" s="1"/>
  <c r="AJ9" i="4" s="1"/>
  <c r="AK9" i="4" s="1"/>
  <c r="AL9" i="4" s="1"/>
  <c r="B7" i="2"/>
  <c r="I2" i="4"/>
  <c r="J2" i="4" s="1"/>
  <c r="L2" i="4" s="1"/>
  <c r="M2" i="4" s="1"/>
  <c r="N2" i="4" s="1"/>
  <c r="AE4" i="4"/>
  <c r="AF4" i="4" s="1"/>
  <c r="AH4" i="4" s="1"/>
  <c r="AJ4" i="4" s="1"/>
  <c r="AK4" i="4" s="1"/>
  <c r="AL4" i="4" s="1"/>
  <c r="AE5" i="4"/>
  <c r="AI6" i="4"/>
  <c r="S7" i="4"/>
  <c r="AF13" i="4"/>
  <c r="W23" i="4"/>
  <c r="AE41" i="4"/>
  <c r="AL65" i="4"/>
  <c r="AF5" i="4"/>
  <c r="T7" i="4"/>
  <c r="AE15" i="4"/>
  <c r="AF15" i="4" s="1"/>
  <c r="S29" i="4"/>
  <c r="W43" i="4"/>
  <c r="U43" i="4"/>
  <c r="S43" i="4"/>
  <c r="AG43" i="4"/>
  <c r="AG55" i="4"/>
  <c r="AI63" i="4"/>
  <c r="AG63" i="4"/>
  <c r="U7" i="4"/>
  <c r="G11" i="4"/>
  <c r="H11" i="4" s="1"/>
  <c r="J11" i="4" s="1"/>
  <c r="L11" i="4" s="1"/>
  <c r="M11" i="4" s="1"/>
  <c r="N11" i="4" s="1"/>
  <c r="T16" i="4"/>
  <c r="V16" i="4" s="1"/>
  <c r="X16" i="4" s="1"/>
  <c r="Y16" i="4" s="1"/>
  <c r="Z16" i="4" s="1"/>
  <c r="K3" i="5"/>
  <c r="E3" i="5"/>
  <c r="H3" i="5" s="1"/>
  <c r="J3" i="5" s="1"/>
  <c r="D19" i="6" s="1"/>
  <c r="AE22" i="4"/>
  <c r="AF22" i="4" s="1"/>
  <c r="AH22" i="4" s="1"/>
  <c r="AJ22" i="4" s="1"/>
  <c r="AK22" i="4" s="1"/>
  <c r="AL22" i="4" s="1"/>
  <c r="K22" i="4"/>
  <c r="I22" i="4"/>
  <c r="G22" i="4"/>
  <c r="H22" i="4" s="1"/>
  <c r="J22" i="4" s="1"/>
  <c r="L22" i="4" s="1"/>
  <c r="M22" i="4" s="1"/>
  <c r="N22" i="4" s="1"/>
  <c r="U22" i="4"/>
  <c r="AE26" i="4"/>
  <c r="AF26" i="4" s="1"/>
  <c r="W35" i="4"/>
  <c r="U35" i="4"/>
  <c r="S35" i="4"/>
  <c r="T35" i="4" s="1"/>
  <c r="V35" i="4" s="1"/>
  <c r="X35" i="4" s="1"/>
  <c r="Y35" i="4" s="1"/>
  <c r="Z35" i="4" s="1"/>
  <c r="AE35" i="4"/>
  <c r="T43" i="4"/>
  <c r="V43" i="4" s="1"/>
  <c r="X43" i="4" s="1"/>
  <c r="Y43" i="4" s="1"/>
  <c r="S49" i="4"/>
  <c r="T49" i="4" s="1"/>
  <c r="V49" i="4" s="1"/>
  <c r="X49" i="4" s="1"/>
  <c r="Y49" i="4" s="1"/>
  <c r="Z49" i="4" s="1"/>
  <c r="AE50" i="4"/>
  <c r="AF50" i="4" s="1"/>
  <c r="AH50" i="4" s="1"/>
  <c r="AJ50" i="4" s="1"/>
  <c r="AK50" i="4" s="1"/>
  <c r="AL50" i="4" s="1"/>
  <c r="AI60" i="4"/>
  <c r="AG60" i="4"/>
  <c r="AE77" i="4"/>
  <c r="AF77" i="4" s="1"/>
  <c r="AH77" i="4" s="1"/>
  <c r="AJ77" i="4" s="1"/>
  <c r="AK77" i="4" s="1"/>
  <c r="AL77" i="4" s="1"/>
  <c r="AF3" i="4"/>
  <c r="AE11" i="4"/>
  <c r="AF11" i="4" s="1"/>
  <c r="AH11" i="4" s="1"/>
  <c r="AJ11" i="4" s="1"/>
  <c r="AK11" i="4" s="1"/>
  <c r="AL11" i="4" s="1"/>
  <c r="I15" i="4"/>
  <c r="AG15" i="4"/>
  <c r="Z24" i="4"/>
  <c r="AF33" i="4"/>
  <c r="AH33" i="4" s="1"/>
  <c r="AJ33" i="4" s="1"/>
  <c r="AK33" i="4" s="1"/>
  <c r="AL33" i="4" s="1"/>
  <c r="AI33" i="4"/>
  <c r="AG33" i="4"/>
  <c r="AE92" i="4"/>
  <c r="AF92" i="4" s="1"/>
  <c r="AH92" i="4" s="1"/>
  <c r="AJ92" i="4" s="1"/>
  <c r="AK92" i="4" s="1"/>
  <c r="AL92" i="4" s="1"/>
  <c r="AE96" i="4"/>
  <c r="N4" i="4"/>
  <c r="S6" i="4"/>
  <c r="T6" i="4" s="1"/>
  <c r="V6" i="4" s="1"/>
  <c r="X6" i="4" s="1"/>
  <c r="Y6" i="4" s="1"/>
  <c r="Z6" i="4" s="1"/>
  <c r="AG2" i="4"/>
  <c r="AG3" i="4"/>
  <c r="K7" i="4"/>
  <c r="G7" i="4"/>
  <c r="W10" i="4"/>
  <c r="S10" i="4"/>
  <c r="T10" i="4" s="1"/>
  <c r="V10" i="4" s="1"/>
  <c r="X10" i="4" s="1"/>
  <c r="Y10" i="4" s="1"/>
  <c r="Z10" i="4" s="1"/>
  <c r="AI10" i="4"/>
  <c r="AG10" i="4"/>
  <c r="AI13" i="4"/>
  <c r="G19" i="4"/>
  <c r="H19" i="4" s="1"/>
  <c r="J19" i="4" s="1"/>
  <c r="L19" i="4" s="1"/>
  <c r="M19" i="4" s="1"/>
  <c r="N19" i="4" s="1"/>
  <c r="S24" i="4"/>
  <c r="S39" i="4"/>
  <c r="T39" i="4" s="1"/>
  <c r="V39" i="4" s="1"/>
  <c r="X39" i="4" s="1"/>
  <c r="Y39" i="4" s="1"/>
  <c r="Z39" i="4" s="1"/>
  <c r="Z43" i="4"/>
  <c r="AG47" i="4"/>
  <c r="AE58" i="4"/>
  <c r="AF58" i="4" s="1"/>
  <c r="AE60" i="4"/>
  <c r="AF60" i="4" s="1"/>
  <c r="AH60" i="4" s="1"/>
  <c r="AJ60" i="4" s="1"/>
  <c r="AK60" i="4" s="1"/>
  <c r="AL60" i="4" s="1"/>
  <c r="AI97" i="4"/>
  <c r="AG97" i="4"/>
  <c r="W97" i="4"/>
  <c r="S97" i="4"/>
  <c r="T97" i="4" s="1"/>
  <c r="V97" i="4" s="1"/>
  <c r="U97" i="4"/>
  <c r="K97" i="4"/>
  <c r="I97" i="4"/>
  <c r="G97" i="4"/>
  <c r="H97" i="4" s="1"/>
  <c r="J97" i="4" s="1"/>
  <c r="L97" i="4" s="1"/>
  <c r="M97" i="4" s="1"/>
  <c r="N97" i="4" s="1"/>
  <c r="AE97" i="4"/>
  <c r="N3" i="4"/>
  <c r="U6" i="4"/>
  <c r="AI11" i="4"/>
  <c r="AI15" i="4"/>
  <c r="S21" i="4"/>
  <c r="T21" i="4" s="1"/>
  <c r="V21" i="4" s="1"/>
  <c r="AI29" i="4"/>
  <c r="AG29" i="4"/>
  <c r="AF29" i="4"/>
  <c r="AH29" i="4" s="1"/>
  <c r="W38" i="4"/>
  <c r="U38" i="4"/>
  <c r="AI38" i="4"/>
  <c r="AE38" i="4"/>
  <c r="AF38" i="4" s="1"/>
  <c r="AH38" i="4" s="1"/>
  <c r="Z42" i="4"/>
  <c r="AF43" i="4"/>
  <c r="AH43" i="4" s="1"/>
  <c r="AJ43" i="4" s="1"/>
  <c r="AK43" i="4" s="1"/>
  <c r="AL43" i="4" s="1"/>
  <c r="W46" i="4"/>
  <c r="AG49" i="4"/>
  <c r="AF49" i="4"/>
  <c r="AE51" i="4"/>
  <c r="AF51" i="4" s="1"/>
  <c r="AE63" i="4"/>
  <c r="AF63" i="4" s="1"/>
  <c r="AE86" i="4"/>
  <c r="AI86" i="4"/>
  <c r="AG86" i="4"/>
  <c r="AE95" i="4"/>
  <c r="AF95" i="4" s="1"/>
  <c r="AH95" i="4" s="1"/>
  <c r="AJ95" i="4" s="1"/>
  <c r="AK95" i="4" s="1"/>
  <c r="AL95" i="4" s="1"/>
  <c r="AG5" i="4"/>
  <c r="U16" i="4"/>
  <c r="W25" i="4"/>
  <c r="T25" i="4"/>
  <c r="V25" i="4" s="1"/>
  <c r="AH28" i="4"/>
  <c r="AJ28" i="4" s="1"/>
  <c r="AK28" i="4" s="1"/>
  <c r="AL28" i="4" s="1"/>
  <c r="S42" i="4"/>
  <c r="T42" i="4" s="1"/>
  <c r="V42" i="4" s="1"/>
  <c r="X42" i="4" s="1"/>
  <c r="Y42" i="4" s="1"/>
  <c r="AE44" i="4"/>
  <c r="AF44" i="4" s="1"/>
  <c r="AH44" i="4" s="1"/>
  <c r="AJ44" i="4" s="1"/>
  <c r="AK44" i="4" s="1"/>
  <c r="AL44" i="4" s="1"/>
  <c r="G100" i="4"/>
  <c r="H100" i="4" s="1"/>
  <c r="U9" i="4"/>
  <c r="T9" i="4"/>
  <c r="G4" i="5"/>
  <c r="I4" i="5" s="1"/>
  <c r="K23" i="4"/>
  <c r="I23" i="4"/>
  <c r="G23" i="4"/>
  <c r="H23" i="4" s="1"/>
  <c r="J23" i="4" s="1"/>
  <c r="L23" i="4" s="1"/>
  <c r="M23" i="4" s="1"/>
  <c r="N23" i="4" s="1"/>
  <c r="S23" i="4"/>
  <c r="T23" i="4" s="1"/>
  <c r="V23" i="4" s="1"/>
  <c r="X23" i="4" s="1"/>
  <c r="Y23" i="4" s="1"/>
  <c r="Z23" i="4" s="1"/>
  <c r="AI23" i="4"/>
  <c r="AG23" i="4"/>
  <c r="AH23" i="4" s="1"/>
  <c r="AJ23" i="4" s="1"/>
  <c r="AK23" i="4" s="1"/>
  <c r="AL23" i="4" s="1"/>
  <c r="U5" i="4"/>
  <c r="V5" i="4" s="1"/>
  <c r="X5" i="4" s="1"/>
  <c r="Y5" i="4" s="1"/>
  <c r="Z5" i="4" s="1"/>
  <c r="K8" i="4"/>
  <c r="L8" i="4" s="1"/>
  <c r="M8" i="4" s="1"/>
  <c r="N8" i="4" s="1"/>
  <c r="S20" i="4"/>
  <c r="T20" i="4" s="1"/>
  <c r="V20" i="4" s="1"/>
  <c r="X20" i="4" s="1"/>
  <c r="Y20" i="4" s="1"/>
  <c r="Z20" i="4" s="1"/>
  <c r="AI20" i="4"/>
  <c r="AG20" i="4"/>
  <c r="AE20" i="4"/>
  <c r="K20" i="4"/>
  <c r="AF20" i="4"/>
  <c r="AH20" i="4" s="1"/>
  <c r="AJ20" i="4" s="1"/>
  <c r="AK20" i="4" s="1"/>
  <c r="AL20" i="4" s="1"/>
  <c r="AF35" i="4"/>
  <c r="AH35" i="4" s="1"/>
  <c r="AJ35" i="4" s="1"/>
  <c r="AK35" i="4" s="1"/>
  <c r="AL35" i="4" s="1"/>
  <c r="AE39" i="4"/>
  <c r="AF39" i="4" s="1"/>
  <c r="AH39" i="4" s="1"/>
  <c r="AJ39" i="4" s="1"/>
  <c r="AK39" i="4" s="1"/>
  <c r="AL39" i="4" s="1"/>
  <c r="AI49" i="4"/>
  <c r="AL57" i="4"/>
  <c r="AF75" i="4"/>
  <c r="AE2" i="4"/>
  <c r="AF2" i="4" s="1"/>
  <c r="AH2" i="4" s="1"/>
  <c r="AJ2" i="4" s="1"/>
  <c r="AK2" i="4" s="1"/>
  <c r="AL2" i="4" s="1"/>
  <c r="U3" i="4"/>
  <c r="T3" i="4"/>
  <c r="V3" i="4" s="1"/>
  <c r="X3" i="4" s="1"/>
  <c r="Y3" i="4" s="1"/>
  <c r="Z3" i="4" s="1"/>
  <c r="Z13" i="4"/>
  <c r="AE14" i="4"/>
  <c r="AF14" i="4" s="1"/>
  <c r="AH14" i="4" s="1"/>
  <c r="AJ14" i="4" s="1"/>
  <c r="AK14" i="4" s="1"/>
  <c r="AL14" i="4" s="1"/>
  <c r="I14" i="4"/>
  <c r="G14" i="4"/>
  <c r="H14" i="4" s="1"/>
  <c r="J14" i="4" s="1"/>
  <c r="L14" i="4" s="1"/>
  <c r="M14" i="4" s="1"/>
  <c r="G2" i="5"/>
  <c r="I2" i="5" s="1"/>
  <c r="C18" i="6" s="1"/>
  <c r="W18" i="4"/>
  <c r="U18" i="4"/>
  <c r="S18" i="4"/>
  <c r="T18" i="4" s="1"/>
  <c r="V18" i="4" s="1"/>
  <c r="X18" i="4" s="1"/>
  <c r="Y18" i="4" s="1"/>
  <c r="Z18" i="4" s="1"/>
  <c r="AI18" i="4"/>
  <c r="AG18" i="4"/>
  <c r="H20" i="4"/>
  <c r="J20" i="4" s="1"/>
  <c r="AE27" i="4"/>
  <c r="AF27" i="4" s="1"/>
  <c r="AG32" i="4"/>
  <c r="AG39" i="4"/>
  <c r="AE43" i="4"/>
  <c r="AE6" i="4"/>
  <c r="AF6" i="4" s="1"/>
  <c r="AH6" i="4" s="1"/>
  <c r="AJ6" i="4" s="1"/>
  <c r="AK6" i="4" s="1"/>
  <c r="AL6" i="4" s="1"/>
  <c r="S12" i="4"/>
  <c r="T12" i="4" s="1"/>
  <c r="V12" i="4" s="1"/>
  <c r="X12" i="4" s="1"/>
  <c r="Y12" i="4" s="1"/>
  <c r="Z12" i="4" s="1"/>
  <c r="AI12" i="4"/>
  <c r="AE12" i="4"/>
  <c r="AF12" i="4" s="1"/>
  <c r="AH12" i="4" s="1"/>
  <c r="AJ12" i="4" s="1"/>
  <c r="AK12" i="4" s="1"/>
  <c r="AL12" i="4" s="1"/>
  <c r="K12" i="4"/>
  <c r="S4" i="4"/>
  <c r="T4" i="4" s="1"/>
  <c r="V4" i="4" s="1"/>
  <c r="AI4" i="4"/>
  <c r="W4" i="4"/>
  <c r="W5" i="4"/>
  <c r="I7" i="4"/>
  <c r="AE7" i="4"/>
  <c r="AF7" i="4" s="1"/>
  <c r="AH7" i="4" s="1"/>
  <c r="AJ7" i="4" s="1"/>
  <c r="AK7" i="4" s="1"/>
  <c r="AL7" i="4" s="1"/>
  <c r="AG14" i="4"/>
  <c r="I16" i="4"/>
  <c r="I30" i="4"/>
  <c r="AI30" i="4"/>
  <c r="U30" i="4"/>
  <c r="S30" i="4"/>
  <c r="T30" i="4" s="1"/>
  <c r="V30" i="4" s="1"/>
  <c r="X30" i="4" s="1"/>
  <c r="Y30" i="4" s="1"/>
  <c r="Z30" i="4" s="1"/>
  <c r="G30" i="4"/>
  <c r="H30" i="4" s="1"/>
  <c r="J30" i="4" s="1"/>
  <c r="L30" i="4" s="1"/>
  <c r="M30" i="4" s="1"/>
  <c r="N30" i="4" s="1"/>
  <c r="W30" i="4"/>
  <c r="AG30" i="4"/>
  <c r="AH30" i="4" s="1"/>
  <c r="AJ30" i="4" s="1"/>
  <c r="AK30" i="4" s="1"/>
  <c r="AL30" i="4" s="1"/>
  <c r="AF31" i="4"/>
  <c r="S38" i="4"/>
  <c r="AI43" i="4"/>
  <c r="S48" i="4"/>
  <c r="T48" i="4" s="1"/>
  <c r="V48" i="4" s="1"/>
  <c r="X48" i="4" s="1"/>
  <c r="Y48" i="4" s="1"/>
  <c r="Z48" i="4" s="1"/>
  <c r="AJ80" i="4"/>
  <c r="AK80" i="4" s="1"/>
  <c r="AF97" i="4"/>
  <c r="AH97" i="4" s="1"/>
  <c r="AJ97" i="4" s="1"/>
  <c r="AK97" i="4" s="1"/>
  <c r="W2" i="4"/>
  <c r="G5" i="4"/>
  <c r="H5" i="4" s="1"/>
  <c r="G6" i="4"/>
  <c r="H6" i="4" s="1"/>
  <c r="J6" i="4" s="1"/>
  <c r="L6" i="4" s="1"/>
  <c r="M6" i="4" s="1"/>
  <c r="N6" i="4" s="1"/>
  <c r="W9" i="4"/>
  <c r="I10" i="4"/>
  <c r="J10" i="4" s="1"/>
  <c r="L10" i="4" s="1"/>
  <c r="M10" i="4" s="1"/>
  <c r="N10" i="4" s="1"/>
  <c r="AE10" i="4"/>
  <c r="AF10" i="4" s="1"/>
  <c r="AH10" i="4" s="1"/>
  <c r="AJ10" i="4" s="1"/>
  <c r="AK10" i="4" s="1"/>
  <c r="AL10" i="4" s="1"/>
  <c r="G12" i="4"/>
  <c r="H12" i="4" s="1"/>
  <c r="J12" i="4" s="1"/>
  <c r="L12" i="4" s="1"/>
  <c r="M12" i="4" s="1"/>
  <c r="N12" i="4" s="1"/>
  <c r="H16" i="4"/>
  <c r="S22" i="4"/>
  <c r="T22" i="4" s="1"/>
  <c r="V22" i="4" s="1"/>
  <c r="X22" i="4" s="1"/>
  <c r="Y22" i="4" s="1"/>
  <c r="Z22" i="4" s="1"/>
  <c r="I24" i="4"/>
  <c r="AF25" i="4"/>
  <c r="AH25" i="4" s="1"/>
  <c r="S28" i="4"/>
  <c r="T28" i="4" s="1"/>
  <c r="AI28" i="4"/>
  <c r="AG28" i="4"/>
  <c r="K28" i="4"/>
  <c r="G28" i="4"/>
  <c r="H28" i="4" s="1"/>
  <c r="J28" i="4" s="1"/>
  <c r="L28" i="4" s="1"/>
  <c r="M28" i="4" s="1"/>
  <c r="N28" i="4" s="1"/>
  <c r="U28" i="4"/>
  <c r="AG35" i="4"/>
  <c r="AI84" i="4"/>
  <c r="AG84" i="4"/>
  <c r="AE84" i="4"/>
  <c r="AF84" i="4" s="1"/>
  <c r="G99" i="4"/>
  <c r="H99" i="4" s="1"/>
  <c r="K15" i="4"/>
  <c r="G15" i="4"/>
  <c r="H15" i="4" s="1"/>
  <c r="J15" i="4" s="1"/>
  <c r="L15" i="4" s="1"/>
  <c r="M15" i="4" s="1"/>
  <c r="N15" i="4" s="1"/>
  <c r="W8" i="4"/>
  <c r="AG12" i="4"/>
  <c r="N14" i="4"/>
  <c r="U15" i="4"/>
  <c r="W17" i="4"/>
  <c r="T17" i="4"/>
  <c r="V17" i="4" s="1"/>
  <c r="X17" i="4" s="1"/>
  <c r="Y17" i="4" s="1"/>
  <c r="Z17" i="4" s="1"/>
  <c r="AF21" i="4"/>
  <c r="J24" i="4"/>
  <c r="L24" i="4" s="1"/>
  <c r="M24" i="4" s="1"/>
  <c r="N24" i="4" s="1"/>
  <c r="AI35" i="4"/>
  <c r="AJ64" i="4"/>
  <c r="AK64" i="4" s="1"/>
  <c r="AL64" i="4" s="1"/>
  <c r="I105" i="4"/>
  <c r="H105" i="4"/>
  <c r="J105" i="4" s="1"/>
  <c r="I5" i="4"/>
  <c r="G9" i="4"/>
  <c r="H9" i="4" s="1"/>
  <c r="J9" i="4" s="1"/>
  <c r="L9" i="4" s="1"/>
  <c r="M9" i="4" s="1"/>
  <c r="N9" i="4" s="1"/>
  <c r="I12" i="4"/>
  <c r="W15" i="4"/>
  <c r="AE18" i="4"/>
  <c r="AF18" i="4" s="1"/>
  <c r="AH18" i="4" s="1"/>
  <c r="AJ18" i="4" s="1"/>
  <c r="AK18" i="4" s="1"/>
  <c r="AL18" i="4" s="1"/>
  <c r="AG21" i="4"/>
  <c r="AE21" i="4"/>
  <c r="K21" i="4"/>
  <c r="I21" i="4"/>
  <c r="J21" i="4" s="1"/>
  <c r="L21" i="4" s="1"/>
  <c r="M21" i="4" s="1"/>
  <c r="N21" i="4" s="1"/>
  <c r="W21" i="4"/>
  <c r="G29" i="4"/>
  <c r="H29" i="4" s="1"/>
  <c r="AE47" i="4"/>
  <c r="AF47" i="4" s="1"/>
  <c r="AH47" i="4" s="1"/>
  <c r="AJ47" i="4" s="1"/>
  <c r="AK47" i="4" s="1"/>
  <c r="AL47" i="4" s="1"/>
  <c r="U47" i="4"/>
  <c r="V47" i="4" s="1"/>
  <c r="X47" i="4" s="1"/>
  <c r="Y47" i="4" s="1"/>
  <c r="Z47" i="4" s="1"/>
  <c r="AL48" i="4"/>
  <c r="U55" i="4"/>
  <c r="W55" i="4"/>
  <c r="S55" i="4"/>
  <c r="AI55" i="4"/>
  <c r="AE55" i="4"/>
  <c r="AF55" i="4" s="1"/>
  <c r="AH55" i="4" s="1"/>
  <c r="AJ55" i="4" s="1"/>
  <c r="AK55" i="4" s="1"/>
  <c r="AL55" i="4" s="1"/>
  <c r="AE87" i="4"/>
  <c r="AJ90" i="4"/>
  <c r="AK90" i="4" s="1"/>
  <c r="AL90" i="4" s="1"/>
  <c r="G105" i="4"/>
  <c r="AG62" i="4"/>
  <c r="AI62" i="4"/>
  <c r="AE62" i="4"/>
  <c r="AF62" i="4" s="1"/>
  <c r="AH62" i="4" s="1"/>
  <c r="AJ62" i="4" s="1"/>
  <c r="AK62" i="4" s="1"/>
  <c r="AL62" i="4" s="1"/>
  <c r="AE73" i="4"/>
  <c r="AF73" i="4" s="1"/>
  <c r="AH73" i="4" s="1"/>
  <c r="AJ73" i="4" s="1"/>
  <c r="AK73" i="4" s="1"/>
  <c r="AL73" i="4" s="1"/>
  <c r="K5" i="4"/>
  <c r="K6" i="4"/>
  <c r="AG6" i="4"/>
  <c r="S8" i="4"/>
  <c r="T8" i="4" s="1"/>
  <c r="V8" i="4" s="1"/>
  <c r="X8" i="4" s="1"/>
  <c r="Y8" i="4" s="1"/>
  <c r="Z8" i="4" s="1"/>
  <c r="AG13" i="4"/>
  <c r="K13" i="4"/>
  <c r="I13" i="4"/>
  <c r="J13" i="4" s="1"/>
  <c r="L13" i="4" s="1"/>
  <c r="M13" i="4" s="1"/>
  <c r="N13" i="4" s="1"/>
  <c r="AI21" i="4"/>
  <c r="I29" i="4"/>
  <c r="T36" i="4"/>
  <c r="V36" i="4" s="1"/>
  <c r="X36" i="4" s="1"/>
  <c r="Y36" i="4" s="1"/>
  <c r="Z36" i="4" s="1"/>
  <c r="AE67" i="4"/>
  <c r="AF67" i="4" s="1"/>
  <c r="AH81" i="4"/>
  <c r="AJ81" i="4" s="1"/>
  <c r="AK81" i="4" s="1"/>
  <c r="AL81" i="4" s="1"/>
  <c r="T96" i="4"/>
  <c r="U96" i="4"/>
  <c r="U46" i="4"/>
  <c r="S46" i="4"/>
  <c r="T46" i="4" s="1"/>
  <c r="V46" i="4" s="1"/>
  <c r="X46" i="4" s="1"/>
  <c r="Y46" i="4" s="1"/>
  <c r="Z46" i="4" s="1"/>
  <c r="AI46" i="4"/>
  <c r="S59" i="4"/>
  <c r="T59" i="4" s="1"/>
  <c r="G94" i="4"/>
  <c r="H94" i="4" s="1"/>
  <c r="J94" i="4" s="1"/>
  <c r="L94" i="4" s="1"/>
  <c r="M94" i="4" s="1"/>
  <c r="N94" i="4" s="1"/>
  <c r="W94" i="4"/>
  <c r="AG94" i="4"/>
  <c r="I94" i="4"/>
  <c r="AE94" i="4"/>
  <c r="AF94" i="4" s="1"/>
  <c r="AH94" i="4" s="1"/>
  <c r="AJ94" i="4" s="1"/>
  <c r="AK94" i="4" s="1"/>
  <c r="S94" i="4"/>
  <c r="T94" i="4" s="1"/>
  <c r="V94" i="4" s="1"/>
  <c r="X94" i="4" s="1"/>
  <c r="Y94" i="4" s="1"/>
  <c r="Z94" i="4" s="1"/>
  <c r="H102" i="4"/>
  <c r="J102" i="4" s="1"/>
  <c r="L102" i="4" s="1"/>
  <c r="M102" i="4" s="1"/>
  <c r="N102" i="4" s="1"/>
  <c r="K102" i="4"/>
  <c r="S52" i="4"/>
  <c r="T52" i="4" s="1"/>
  <c r="V52" i="4" s="1"/>
  <c r="X52" i="4" s="1"/>
  <c r="Y52" i="4" s="1"/>
  <c r="Z52" i="4" s="1"/>
  <c r="S53" i="4"/>
  <c r="AI53" i="4"/>
  <c r="U60" i="4"/>
  <c r="AI79" i="4"/>
  <c r="AG79" i="4"/>
  <c r="AH79" i="4" s="1"/>
  <c r="AJ79" i="4" s="1"/>
  <c r="AK79" i="4" s="1"/>
  <c r="AL79" i="4" s="1"/>
  <c r="AL97" i="4"/>
  <c r="I113" i="4"/>
  <c r="T38" i="4"/>
  <c r="V38" i="4" s="1"/>
  <c r="X38" i="4" s="1"/>
  <c r="Y38" i="4" s="1"/>
  <c r="Z38" i="4" s="1"/>
  <c r="W45" i="4"/>
  <c r="T53" i="4"/>
  <c r="V53" i="4" s="1"/>
  <c r="AG54" i="4"/>
  <c r="AH54" i="4" s="1"/>
  <c r="AJ54" i="4" s="1"/>
  <c r="AK54" i="4" s="1"/>
  <c r="AL54" i="4" s="1"/>
  <c r="Z56" i="4"/>
  <c r="W59" i="4"/>
  <c r="K32" i="4"/>
  <c r="L32" i="4" s="1"/>
  <c r="M32" i="4" s="1"/>
  <c r="N32" i="4" s="1"/>
  <c r="S34" i="4"/>
  <c r="T34" i="4" s="1"/>
  <c r="V34" i="4" s="1"/>
  <c r="X34" i="4" s="1"/>
  <c r="Y34" i="4" s="1"/>
  <c r="Z34" i="4" s="1"/>
  <c r="W48" i="4"/>
  <c r="U48" i="4"/>
  <c r="AE48" i="4"/>
  <c r="AF48" i="4" s="1"/>
  <c r="AH48" i="4" s="1"/>
  <c r="AJ48" i="4" s="1"/>
  <c r="AK48" i="4" s="1"/>
  <c r="W51" i="4"/>
  <c r="X51" i="4" s="1"/>
  <c r="Y51" i="4" s="1"/>
  <c r="Z51" i="4" s="1"/>
  <c r="U52" i="4"/>
  <c r="T54" i="4"/>
  <c r="V54" i="4" s="1"/>
  <c r="X54" i="4" s="1"/>
  <c r="Y54" i="4" s="1"/>
  <c r="Z54" i="4" s="1"/>
  <c r="AF56" i="4"/>
  <c r="AI71" i="4"/>
  <c r="AG71" i="4"/>
  <c r="AE71" i="4"/>
  <c r="AF71" i="4" s="1"/>
  <c r="AH71" i="4" s="1"/>
  <c r="AJ71" i="4" s="1"/>
  <c r="AK71" i="4" s="1"/>
  <c r="AL71" i="4" s="1"/>
  <c r="G8" i="5"/>
  <c r="I8" i="5" s="1"/>
  <c r="AG88" i="4"/>
  <c r="AE88" i="4"/>
  <c r="AF88" i="4" s="1"/>
  <c r="AI9" i="4"/>
  <c r="AI17" i="4"/>
  <c r="E4" i="5"/>
  <c r="H4" i="5" s="1"/>
  <c r="J4" i="5" s="1"/>
  <c r="D23" i="6" s="1"/>
  <c r="K4" i="5"/>
  <c r="T24" i="4"/>
  <c r="V24" i="4" s="1"/>
  <c r="X24" i="4" s="1"/>
  <c r="Y24" i="4" s="1"/>
  <c r="AI25" i="4"/>
  <c r="AG26" i="4"/>
  <c r="AI32" i="4"/>
  <c r="U39" i="4"/>
  <c r="AI39" i="4"/>
  <c r="AF41" i="4"/>
  <c r="AH41" i="4" s="1"/>
  <c r="W53" i="4"/>
  <c r="S54" i="4"/>
  <c r="AI56" i="4"/>
  <c r="S125" i="4"/>
  <c r="T125" i="4" s="1"/>
  <c r="AE162" i="4"/>
  <c r="AI26" i="4"/>
  <c r="AG27" i="4"/>
  <c r="AE40" i="4"/>
  <c r="AF40" i="4" s="1"/>
  <c r="AH40" i="4" s="1"/>
  <c r="AJ40" i="4" s="1"/>
  <c r="AK40" i="4" s="1"/>
  <c r="AL40" i="4" s="1"/>
  <c r="AI40" i="4"/>
  <c r="AI44" i="4"/>
  <c r="AE45" i="4"/>
  <c r="AF45" i="4" s="1"/>
  <c r="AH45" i="4" s="1"/>
  <c r="G6" i="5"/>
  <c r="I6" i="5" s="1"/>
  <c r="W50" i="4"/>
  <c r="AG50" i="4"/>
  <c r="T55" i="4"/>
  <c r="V55" i="4" s="1"/>
  <c r="X55" i="4" s="1"/>
  <c r="Y55" i="4" s="1"/>
  <c r="Z55" i="4" s="1"/>
  <c r="AE56" i="4"/>
  <c r="AG59" i="4"/>
  <c r="AI76" i="4"/>
  <c r="AG76" i="4"/>
  <c r="AE76" i="4"/>
  <c r="AF76" i="4" s="1"/>
  <c r="AH76" i="4" s="1"/>
  <c r="AJ76" i="4" s="1"/>
  <c r="AK76" i="4" s="1"/>
  <c r="AL76" i="4" s="1"/>
  <c r="AE82" i="4"/>
  <c r="AF82" i="4" s="1"/>
  <c r="AH82" i="4" s="1"/>
  <c r="AJ82" i="4" s="1"/>
  <c r="AK82" i="4" s="1"/>
  <c r="AL82" i="4" s="1"/>
  <c r="AG82" i="4"/>
  <c r="AF86" i="4"/>
  <c r="AH86" i="4" s="1"/>
  <c r="AJ86" i="4" s="1"/>
  <c r="AK86" i="4" s="1"/>
  <c r="AL86" i="4" s="1"/>
  <c r="Z101" i="4"/>
  <c r="AE119" i="4"/>
  <c r="W16" i="4"/>
  <c r="U17" i="4"/>
  <c r="U25" i="4"/>
  <c r="S26" i="4"/>
  <c r="T26" i="4" s="1"/>
  <c r="V26" i="4" s="1"/>
  <c r="X26" i="4" s="1"/>
  <c r="Y26" i="4" s="1"/>
  <c r="Z26" i="4" s="1"/>
  <c r="AI36" i="4"/>
  <c r="AJ36" i="4" s="1"/>
  <c r="AK36" i="4" s="1"/>
  <c r="AL36" i="4" s="1"/>
  <c r="AI91" i="4"/>
  <c r="AG91" i="4"/>
  <c r="AE91" i="4"/>
  <c r="AF91" i="4" s="1"/>
  <c r="AH91" i="4" s="1"/>
  <c r="AJ91" i="4" s="1"/>
  <c r="AK91" i="4" s="1"/>
  <c r="AL91" i="4" s="1"/>
  <c r="N112" i="4"/>
  <c r="G112" i="4"/>
  <c r="H112" i="4" s="1"/>
  <c r="J112" i="4" s="1"/>
  <c r="L112" i="4" s="1"/>
  <c r="M112" i="4" s="1"/>
  <c r="K5" i="5"/>
  <c r="E5" i="5"/>
  <c r="H5" i="5" s="1"/>
  <c r="J5" i="5" s="1"/>
  <c r="D25" i="6" s="1"/>
  <c r="T29" i="4"/>
  <c r="V29" i="4" s="1"/>
  <c r="X29" i="4" s="1"/>
  <c r="Y29" i="4" s="1"/>
  <c r="Z29" i="4" s="1"/>
  <c r="W33" i="4"/>
  <c r="X33" i="4" s="1"/>
  <c r="Y33" i="4" s="1"/>
  <c r="Z33" i="4" s="1"/>
  <c r="AE52" i="4"/>
  <c r="AF52" i="4" s="1"/>
  <c r="AH52" i="4" s="1"/>
  <c r="AJ52" i="4" s="1"/>
  <c r="AK52" i="4" s="1"/>
  <c r="AL52" i="4" s="1"/>
  <c r="U94" i="4"/>
  <c r="AE102" i="4"/>
  <c r="AF102" i="4" s="1"/>
  <c r="AH102" i="4" s="1"/>
  <c r="F25" i="4"/>
  <c r="U26" i="4"/>
  <c r="AE32" i="4"/>
  <c r="AF32" i="4" s="1"/>
  <c r="AH32" i="4" s="1"/>
  <c r="AJ32" i="4" s="1"/>
  <c r="AK32" i="4" s="1"/>
  <c r="AL32" i="4" s="1"/>
  <c r="U32" i="4"/>
  <c r="V32" i="4" s="1"/>
  <c r="X32" i="4" s="1"/>
  <c r="Y32" i="4" s="1"/>
  <c r="Z32" i="4" s="1"/>
  <c r="S45" i="4"/>
  <c r="T45" i="4" s="1"/>
  <c r="V45" i="4" s="1"/>
  <c r="AI51" i="4"/>
  <c r="AG51" i="4"/>
  <c r="AE59" i="4"/>
  <c r="AF59" i="4" s="1"/>
  <c r="U59" i="4"/>
  <c r="AE66" i="4"/>
  <c r="AF66" i="4" s="1"/>
  <c r="AH66" i="4" s="1"/>
  <c r="AJ66" i="4" s="1"/>
  <c r="AK66" i="4" s="1"/>
  <c r="AL66" i="4" s="1"/>
  <c r="AI68" i="4"/>
  <c r="AG68" i="4"/>
  <c r="AE68" i="4"/>
  <c r="AF68" i="4" s="1"/>
  <c r="AH68" i="4" s="1"/>
  <c r="AL80" i="4"/>
  <c r="U95" i="4"/>
  <c r="T95" i="4"/>
  <c r="W95" i="4"/>
  <c r="AF42" i="4"/>
  <c r="AH42" i="4" s="1"/>
  <c r="AJ42" i="4" s="1"/>
  <c r="AK42" i="4" s="1"/>
  <c r="AL42" i="4" s="1"/>
  <c r="AE46" i="4"/>
  <c r="AF46" i="4" s="1"/>
  <c r="AH46" i="4" s="1"/>
  <c r="AJ46" i="4" s="1"/>
  <c r="AK46" i="4" s="1"/>
  <c r="AL46" i="4" s="1"/>
  <c r="T11" i="4"/>
  <c r="V11" i="4" s="1"/>
  <c r="X11" i="4" s="1"/>
  <c r="Y11" i="4" s="1"/>
  <c r="Z11" i="4" s="1"/>
  <c r="F28" i="6"/>
  <c r="F12" i="6"/>
  <c r="J61" i="6"/>
  <c r="I32" i="6"/>
  <c r="E2" i="5"/>
  <c r="H2" i="5" s="1"/>
  <c r="J2" i="5" s="1"/>
  <c r="F83" i="6"/>
  <c r="F67" i="6"/>
  <c r="F13" i="6"/>
  <c r="F90" i="6"/>
  <c r="F36" i="6"/>
  <c r="F20" i="6"/>
  <c r="F43" i="6"/>
  <c r="F27" i="6"/>
  <c r="I73" i="6"/>
  <c r="J70" i="6"/>
  <c r="J38" i="6"/>
  <c r="K2" i="5"/>
  <c r="T19" i="4"/>
  <c r="V19" i="4" s="1"/>
  <c r="X19" i="4" s="1"/>
  <c r="Y19" i="4" s="1"/>
  <c r="Z19" i="4" s="1"/>
  <c r="T27" i="4"/>
  <c r="V27" i="4" s="1"/>
  <c r="X27" i="4" s="1"/>
  <c r="Y27" i="4" s="1"/>
  <c r="Z27" i="4" s="1"/>
  <c r="G31" i="4"/>
  <c r="H31" i="4" s="1"/>
  <c r="J31" i="4" s="1"/>
  <c r="L31" i="4" s="1"/>
  <c r="M31" i="4" s="1"/>
  <c r="N31" i="4" s="1"/>
  <c r="AG31" i="4"/>
  <c r="U31" i="4"/>
  <c r="V31" i="4" s="1"/>
  <c r="X31" i="4" s="1"/>
  <c r="Y31" i="4" s="1"/>
  <c r="Z31" i="4" s="1"/>
  <c r="W32" i="4"/>
  <c r="S36" i="4"/>
  <c r="W39" i="4"/>
  <c r="S40" i="4"/>
  <c r="T40" i="4" s="1"/>
  <c r="V40" i="4" s="1"/>
  <c r="X40" i="4" s="1"/>
  <c r="Y40" i="4" s="1"/>
  <c r="Z40" i="4" s="1"/>
  <c r="AI41" i="4"/>
  <c r="AI45" i="4"/>
  <c r="S50" i="4"/>
  <c r="T50" i="4" s="1"/>
  <c r="V50" i="4" s="1"/>
  <c r="X50" i="4" s="1"/>
  <c r="Y50" i="4" s="1"/>
  <c r="Z50" i="4" s="1"/>
  <c r="AG52" i="4"/>
  <c r="AE72" i="4"/>
  <c r="AF72" i="4" s="1"/>
  <c r="AH72" i="4" s="1"/>
  <c r="AJ72" i="4" s="1"/>
  <c r="AK72" i="4" s="1"/>
  <c r="AL72" i="4" s="1"/>
  <c r="AF74" i="4"/>
  <c r="AH74" i="4" s="1"/>
  <c r="AJ74" i="4" s="1"/>
  <c r="AK74" i="4" s="1"/>
  <c r="AL74" i="4" s="1"/>
  <c r="AG78" i="4"/>
  <c r="AI87" i="4"/>
  <c r="AG87" i="4"/>
  <c r="AE89" i="4"/>
  <c r="AF89" i="4" s="1"/>
  <c r="AH89" i="4" s="1"/>
  <c r="AJ89" i="4" s="1"/>
  <c r="AK89" i="4" s="1"/>
  <c r="AL89" i="4" s="1"/>
  <c r="S142" i="4"/>
  <c r="T142" i="4" s="1"/>
  <c r="V142" i="4" s="1"/>
  <c r="X142" i="4" s="1"/>
  <c r="Y142" i="4" s="1"/>
  <c r="Z142" i="4" s="1"/>
  <c r="AE34" i="4"/>
  <c r="AF34" i="4" s="1"/>
  <c r="AH34" i="4" s="1"/>
  <c r="AJ34" i="4" s="1"/>
  <c r="AK34" i="4" s="1"/>
  <c r="AL34" i="4" s="1"/>
  <c r="S37" i="4"/>
  <c r="T37" i="4" s="1"/>
  <c r="V37" i="4" s="1"/>
  <c r="X37" i="4" s="1"/>
  <c r="Y37" i="4" s="1"/>
  <c r="Z37" i="4" s="1"/>
  <c r="AI37" i="4"/>
  <c r="AG37" i="4"/>
  <c r="AH37" i="4" s="1"/>
  <c r="U44" i="4"/>
  <c r="V44" i="4" s="1"/>
  <c r="X44" i="4" s="1"/>
  <c r="Y44" i="4" s="1"/>
  <c r="Z44" i="4" s="1"/>
  <c r="AG46" i="4"/>
  <c r="AE53" i="4"/>
  <c r="AF53" i="4" s="1"/>
  <c r="AH53" i="4" s="1"/>
  <c r="AJ53" i="4" s="1"/>
  <c r="AK53" i="4" s="1"/>
  <c r="AL53" i="4" s="1"/>
  <c r="Z57" i="4"/>
  <c r="T58" i="4"/>
  <c r="V58" i="4" s="1"/>
  <c r="X58" i="4" s="1"/>
  <c r="Y58" i="4" s="1"/>
  <c r="Z58" i="4" s="1"/>
  <c r="W60" i="4"/>
  <c r="S60" i="4"/>
  <c r="T60" i="4" s="1"/>
  <c r="V60" i="4" s="1"/>
  <c r="X60" i="4" s="1"/>
  <c r="Y60" i="4" s="1"/>
  <c r="Z60" i="4" s="1"/>
  <c r="AI82" i="4"/>
  <c r="AF87" i="4"/>
  <c r="AL94" i="4"/>
  <c r="N96" i="4"/>
  <c r="S98" i="4"/>
  <c r="T98" i="4" s="1"/>
  <c r="S112" i="4"/>
  <c r="T112" i="4" s="1"/>
  <c r="V112" i="4" s="1"/>
  <c r="X112" i="4" s="1"/>
  <c r="Y112" i="4" s="1"/>
  <c r="Z112" i="4" s="1"/>
  <c r="I102" i="4"/>
  <c r="AI102" i="4"/>
  <c r="G102" i="4"/>
  <c r="W102" i="4"/>
  <c r="K104" i="4"/>
  <c r="AG107" i="4"/>
  <c r="G107" i="4"/>
  <c r="H107" i="4" s="1"/>
  <c r="J107" i="4" s="1"/>
  <c r="AE107" i="4"/>
  <c r="AF107" i="4" s="1"/>
  <c r="AH107" i="4" s="1"/>
  <c r="AJ107" i="4" s="1"/>
  <c r="AK107" i="4" s="1"/>
  <c r="AL107" i="4" s="1"/>
  <c r="W107" i="4"/>
  <c r="AI107" i="4"/>
  <c r="N109" i="4"/>
  <c r="G109" i="4"/>
  <c r="H109" i="4" s="1"/>
  <c r="J109" i="4" s="1"/>
  <c r="L109" i="4" s="1"/>
  <c r="M109" i="4" s="1"/>
  <c r="AF119" i="4"/>
  <c r="AH119" i="4" s="1"/>
  <c r="AJ119" i="4" s="1"/>
  <c r="AK119" i="4" s="1"/>
  <c r="AL119" i="4" s="1"/>
  <c r="S138" i="4"/>
  <c r="U146" i="4"/>
  <c r="AE154" i="4"/>
  <c r="AF154" i="4" s="1"/>
  <c r="AH154" i="4" s="1"/>
  <c r="AJ154" i="4" s="1"/>
  <c r="AK154" i="4" s="1"/>
  <c r="AL154" i="4" s="1"/>
  <c r="AH169" i="4"/>
  <c r="AJ169" i="4" s="1"/>
  <c r="AK169" i="4" s="1"/>
  <c r="AL116" i="4"/>
  <c r="AE117" i="4"/>
  <c r="AF117" i="4" s="1"/>
  <c r="AH117" i="4" s="1"/>
  <c r="AJ117" i="4" s="1"/>
  <c r="AK117" i="4" s="1"/>
  <c r="AL117" i="4" s="1"/>
  <c r="AE158" i="4"/>
  <c r="K105" i="4"/>
  <c r="G113" i="4"/>
  <c r="H113" i="4" s="1"/>
  <c r="J113" i="4" s="1"/>
  <c r="L113" i="4" s="1"/>
  <c r="M113" i="4" s="1"/>
  <c r="N113" i="4" s="1"/>
  <c r="AI114" i="4"/>
  <c r="AG114" i="4"/>
  <c r="I114" i="4"/>
  <c r="U114" i="4"/>
  <c r="AE114" i="4"/>
  <c r="AF114" i="4" s="1"/>
  <c r="AH114" i="4" s="1"/>
  <c r="AJ114" i="4" s="1"/>
  <c r="AK114" i="4" s="1"/>
  <c r="AL114" i="4" s="1"/>
  <c r="AI133" i="4"/>
  <c r="AG133" i="4"/>
  <c r="AI148" i="4"/>
  <c r="AG148" i="4"/>
  <c r="AE166" i="4"/>
  <c r="AF166" i="4" s="1"/>
  <c r="I110" i="4"/>
  <c r="AI110" i="4"/>
  <c r="S110" i="4"/>
  <c r="T110" i="4" s="1"/>
  <c r="V110" i="4" s="1"/>
  <c r="X110" i="4" s="1"/>
  <c r="Y110" i="4" s="1"/>
  <c r="AG115" i="4"/>
  <c r="AE115" i="4"/>
  <c r="AF115" i="4" s="1"/>
  <c r="AH115" i="4" s="1"/>
  <c r="AJ115" i="4" s="1"/>
  <c r="AK115" i="4" s="1"/>
  <c r="AL115" i="4" s="1"/>
  <c r="G115" i="4"/>
  <c r="H115" i="4" s="1"/>
  <c r="J115" i="4" s="1"/>
  <c r="L115" i="4" s="1"/>
  <c r="M115" i="4" s="1"/>
  <c r="N115" i="4" s="1"/>
  <c r="U115" i="4"/>
  <c r="S115" i="4"/>
  <c r="T115" i="4" s="1"/>
  <c r="V115" i="4" s="1"/>
  <c r="AI115" i="4"/>
  <c r="K115" i="4"/>
  <c r="W127" i="4"/>
  <c r="AG127" i="4"/>
  <c r="U127" i="4"/>
  <c r="S127" i="4"/>
  <c r="T127" i="4" s="1"/>
  <c r="V127" i="4" s="1"/>
  <c r="X127" i="4" s="1"/>
  <c r="Y127" i="4" s="1"/>
  <c r="Z127" i="4" s="1"/>
  <c r="AI127" i="4"/>
  <c r="V128" i="4"/>
  <c r="AE99" i="4"/>
  <c r="AF99" i="4" s="1"/>
  <c r="AH99" i="4" s="1"/>
  <c r="AJ99" i="4" s="1"/>
  <c r="AK99" i="4" s="1"/>
  <c r="AL99" i="4" s="1"/>
  <c r="K99" i="4"/>
  <c r="S99" i="4"/>
  <c r="T99" i="4" s="1"/>
  <c r="V99" i="4" s="1"/>
  <c r="X99" i="4" s="1"/>
  <c r="Y99" i="4" s="1"/>
  <c r="Z99" i="4" s="1"/>
  <c r="S106" i="4"/>
  <c r="AE116" i="4"/>
  <c r="AF116" i="4" s="1"/>
  <c r="AH116" i="4" s="1"/>
  <c r="AJ116" i="4" s="1"/>
  <c r="AK116" i="4" s="1"/>
  <c r="K116" i="4"/>
  <c r="U116" i="4"/>
  <c r="S116" i="4"/>
  <c r="AI116" i="4"/>
  <c r="G116" i="4"/>
  <c r="H116" i="4" s="1"/>
  <c r="J116" i="4" s="1"/>
  <c r="L116" i="4" s="1"/>
  <c r="M116" i="4" s="1"/>
  <c r="N116" i="4" s="1"/>
  <c r="S121" i="4"/>
  <c r="W124" i="4"/>
  <c r="AF128" i="4"/>
  <c r="V144" i="4"/>
  <c r="X144" i="4" s="1"/>
  <c r="Y144" i="4" s="1"/>
  <c r="Z144" i="4" s="1"/>
  <c r="AE150" i="4"/>
  <c r="AE74" i="4"/>
  <c r="T106" i="4"/>
  <c r="V106" i="4" s="1"/>
  <c r="X106" i="4" s="1"/>
  <c r="Y106" i="4" s="1"/>
  <c r="Z106" i="4" s="1"/>
  <c r="K118" i="4"/>
  <c r="I121" i="4"/>
  <c r="H121" i="4"/>
  <c r="J121" i="4" s="1"/>
  <c r="Z130" i="4"/>
  <c r="AG132" i="4"/>
  <c r="G103" i="4"/>
  <c r="AG103" i="4"/>
  <c r="I103" i="4"/>
  <c r="AE103" i="4"/>
  <c r="AF103" i="4" s="1"/>
  <c r="U104" i="4"/>
  <c r="U106" i="4"/>
  <c r="K107" i="4"/>
  <c r="AE110" i="4"/>
  <c r="AF110" i="4" s="1"/>
  <c r="AH110" i="4" s="1"/>
  <c r="AJ110" i="4" s="1"/>
  <c r="AK110" i="4" s="1"/>
  <c r="AL110" i="4" s="1"/>
  <c r="T113" i="4"/>
  <c r="V113" i="4" s="1"/>
  <c r="X113" i="4" s="1"/>
  <c r="Y113" i="4" s="1"/>
  <c r="Z113" i="4" s="1"/>
  <c r="U113" i="4"/>
  <c r="G114" i="4"/>
  <c r="H114" i="4" s="1"/>
  <c r="J114" i="4" s="1"/>
  <c r="L114" i="4" s="1"/>
  <c r="M114" i="4" s="1"/>
  <c r="N114" i="4" s="1"/>
  <c r="N119" i="4"/>
  <c r="D10" i="5"/>
  <c r="I80" i="6" s="1"/>
  <c r="F122" i="4"/>
  <c r="AE125" i="4"/>
  <c r="AE128" i="4"/>
  <c r="H103" i="4"/>
  <c r="J103" i="4" s="1"/>
  <c r="Z109" i="4"/>
  <c r="G110" i="4"/>
  <c r="H110" i="4" s="1"/>
  <c r="J110" i="4" s="1"/>
  <c r="L110" i="4" s="1"/>
  <c r="M110" i="4" s="1"/>
  <c r="N110" i="4" s="1"/>
  <c r="I115" i="4"/>
  <c r="AE144" i="4"/>
  <c r="AF144" i="4" s="1"/>
  <c r="AH144" i="4" s="1"/>
  <c r="AJ144" i="4" s="1"/>
  <c r="AK144" i="4" s="1"/>
  <c r="AL144" i="4" s="1"/>
  <c r="AH152" i="4"/>
  <c r="I101" i="4"/>
  <c r="G101" i="4"/>
  <c r="AI101" i="4"/>
  <c r="AI103" i="4"/>
  <c r="AG110" i="4"/>
  <c r="K114" i="4"/>
  <c r="AE135" i="4"/>
  <c r="S145" i="4"/>
  <c r="AI145" i="4"/>
  <c r="AE145" i="4"/>
  <c r="AF145" i="4" s="1"/>
  <c r="AH145" i="4" s="1"/>
  <c r="AJ145" i="4" s="1"/>
  <c r="AK145" i="4" s="1"/>
  <c r="AL145" i="4" s="1"/>
  <c r="AG145" i="4"/>
  <c r="W145" i="4"/>
  <c r="U145" i="4"/>
  <c r="AG99" i="4"/>
  <c r="S100" i="4"/>
  <c r="T100" i="4" s="1"/>
  <c r="V100" i="4" s="1"/>
  <c r="X100" i="4" s="1"/>
  <c r="Y100" i="4" s="1"/>
  <c r="Z100" i="4" s="1"/>
  <c r="H101" i="4"/>
  <c r="J101" i="4" s="1"/>
  <c r="L101" i="4" s="1"/>
  <c r="M101" i="4" s="1"/>
  <c r="AE101" i="4"/>
  <c r="AF101" i="4" s="1"/>
  <c r="AH101" i="4" s="1"/>
  <c r="AJ101" i="4" s="1"/>
  <c r="AK101" i="4" s="1"/>
  <c r="AL101" i="4" s="1"/>
  <c r="K103" i="4"/>
  <c r="T105" i="4"/>
  <c r="U105" i="4"/>
  <c r="K110" i="4"/>
  <c r="AE111" i="4"/>
  <c r="AF111" i="4" s="1"/>
  <c r="AH111" i="4" s="1"/>
  <c r="AJ111" i="4" s="1"/>
  <c r="AK111" i="4" s="1"/>
  <c r="AL111" i="4" s="1"/>
  <c r="I116" i="4"/>
  <c r="G117" i="4"/>
  <c r="U141" i="4"/>
  <c r="T141" i="4"/>
  <c r="V141" i="4" s="1"/>
  <c r="T145" i="4"/>
  <c r="V145" i="4" s="1"/>
  <c r="X145" i="4" s="1"/>
  <c r="Y145" i="4" s="1"/>
  <c r="S147" i="4"/>
  <c r="AH157" i="4"/>
  <c r="AJ157" i="4" s="1"/>
  <c r="AK157" i="4" s="1"/>
  <c r="AL157" i="4" s="1"/>
  <c r="AH160" i="4"/>
  <c r="AJ160" i="4" s="1"/>
  <c r="AK160" i="4" s="1"/>
  <c r="AL160" i="4" s="1"/>
  <c r="AG58" i="4"/>
  <c r="AI83" i="4"/>
  <c r="AG83" i="4"/>
  <c r="E8" i="5"/>
  <c r="H8" i="5" s="1"/>
  <c r="J8" i="5" s="1"/>
  <c r="K8" i="5"/>
  <c r="AG98" i="4"/>
  <c r="AE98" i="4"/>
  <c r="AF98" i="4" s="1"/>
  <c r="AH98" i="4" s="1"/>
  <c r="AJ98" i="4" s="1"/>
  <c r="AK98" i="4" s="1"/>
  <c r="AL98" i="4" s="1"/>
  <c r="U98" i="4"/>
  <c r="W98" i="4"/>
  <c r="I99" i="4"/>
  <c r="U100" i="4"/>
  <c r="AG101" i="4"/>
  <c r="S102" i="4"/>
  <c r="T102" i="4" s="1"/>
  <c r="V102" i="4" s="1"/>
  <c r="AG106" i="4"/>
  <c r="S107" i="4"/>
  <c r="T107" i="4" s="1"/>
  <c r="V107" i="4" s="1"/>
  <c r="H108" i="4"/>
  <c r="J108" i="4" s="1"/>
  <c r="L108" i="4" s="1"/>
  <c r="M108" i="4" s="1"/>
  <c r="N108" i="4" s="1"/>
  <c r="T117" i="4"/>
  <c r="V117" i="4" s="1"/>
  <c r="W117" i="4"/>
  <c r="AE127" i="4"/>
  <c r="AF127" i="4" s="1"/>
  <c r="S141" i="4"/>
  <c r="N101" i="4"/>
  <c r="AE104" i="4"/>
  <c r="AF104" i="4" s="1"/>
  <c r="I104" i="4"/>
  <c r="G104" i="4"/>
  <c r="S104" i="4"/>
  <c r="T104" i="4" s="1"/>
  <c r="V104" i="4" s="1"/>
  <c r="X104" i="4" s="1"/>
  <c r="Y104" i="4" s="1"/>
  <c r="Z104" i="4" s="1"/>
  <c r="AI104" i="4"/>
  <c r="AE106" i="4"/>
  <c r="AF106" i="4" s="1"/>
  <c r="AH106" i="4" s="1"/>
  <c r="AJ106" i="4" s="1"/>
  <c r="AK106" i="4" s="1"/>
  <c r="AL106" i="4" s="1"/>
  <c r="S114" i="4"/>
  <c r="T114" i="4" s="1"/>
  <c r="V114" i="4" s="1"/>
  <c r="X114" i="4" s="1"/>
  <c r="Y114" i="4" s="1"/>
  <c r="Z114" i="4" s="1"/>
  <c r="T116" i="4"/>
  <c r="S117" i="4"/>
  <c r="T124" i="4"/>
  <c r="V124" i="4" s="1"/>
  <c r="S126" i="4"/>
  <c r="T126" i="4" s="1"/>
  <c r="V126" i="4" s="1"/>
  <c r="X126" i="4" s="1"/>
  <c r="Y126" i="4" s="1"/>
  <c r="Z126" i="4" s="1"/>
  <c r="U139" i="4"/>
  <c r="S139" i="4"/>
  <c r="AI139" i="4"/>
  <c r="AE139" i="4"/>
  <c r="AF139" i="4" s="1"/>
  <c r="AH139" i="4" s="1"/>
  <c r="AJ139" i="4" s="1"/>
  <c r="AK139" i="4" s="1"/>
  <c r="W139" i="4"/>
  <c r="AE149" i="4"/>
  <c r="AF149" i="4" s="1"/>
  <c r="AH149" i="4" s="1"/>
  <c r="AJ149" i="4" s="1"/>
  <c r="AK149" i="4" s="1"/>
  <c r="AL149" i="4" s="1"/>
  <c r="AF78" i="4"/>
  <c r="W100" i="4"/>
  <c r="K101" i="4"/>
  <c r="U102" i="4"/>
  <c r="H104" i="4"/>
  <c r="J104" i="4" s="1"/>
  <c r="L104" i="4" s="1"/>
  <c r="M104" i="4" s="1"/>
  <c r="N104" i="4" s="1"/>
  <c r="W115" i="4"/>
  <c r="U117" i="4"/>
  <c r="T120" i="4"/>
  <c r="W120" i="4"/>
  <c r="AI132" i="4"/>
  <c r="AF134" i="4"/>
  <c r="AH134" i="4" s="1"/>
  <c r="AJ134" i="4" s="1"/>
  <c r="AK134" i="4" s="1"/>
  <c r="AL134" i="4" s="1"/>
  <c r="AL141" i="4"/>
  <c r="AE141" i="4"/>
  <c r="G13" i="5" a="1"/>
  <c r="G13" i="5" s="1"/>
  <c r="I13" i="5" s="1"/>
  <c r="C92" i="6" s="1"/>
  <c r="AG184" i="4"/>
  <c r="AI184" i="4"/>
  <c r="E6" i="5"/>
  <c r="H6" i="5" s="1"/>
  <c r="J6" i="5" s="1"/>
  <c r="J51" i="6" s="1"/>
  <c r="K6" i="5"/>
  <c r="S58" i="4"/>
  <c r="AI67" i="4"/>
  <c r="AG67" i="4"/>
  <c r="AE70" i="4"/>
  <c r="AF85" i="4"/>
  <c r="AH85" i="4" s="1"/>
  <c r="AJ85" i="4" s="1"/>
  <c r="AK85" i="4" s="1"/>
  <c r="AL85" i="4" s="1"/>
  <c r="AF96" i="4"/>
  <c r="AH96" i="4" s="1"/>
  <c r="AJ96" i="4" s="1"/>
  <c r="AK96" i="4" s="1"/>
  <c r="AL96" i="4" s="1"/>
  <c r="Z103" i="4"/>
  <c r="AI109" i="4"/>
  <c r="AG109" i="4"/>
  <c r="AH109" i="4" s="1"/>
  <c r="AJ109" i="4" s="1"/>
  <c r="AK109" i="4" s="1"/>
  <c r="AL109" i="4" s="1"/>
  <c r="W116" i="4"/>
  <c r="S119" i="4"/>
  <c r="T119" i="4" s="1"/>
  <c r="V119" i="4" s="1"/>
  <c r="AF124" i="4"/>
  <c r="AH124" i="4" s="1"/>
  <c r="AJ124" i="4" s="1"/>
  <c r="AK124" i="4" s="1"/>
  <c r="AL124" i="4" s="1"/>
  <c r="AE134" i="4"/>
  <c r="AF151" i="4"/>
  <c r="AI151" i="4"/>
  <c r="AG56" i="4"/>
  <c r="AF70" i="4"/>
  <c r="AH70" i="4" s="1"/>
  <c r="AJ70" i="4" s="1"/>
  <c r="AK70" i="4" s="1"/>
  <c r="AL70" i="4" s="1"/>
  <c r="AI75" i="4"/>
  <c r="AG75" i="4"/>
  <c r="AE83" i="4"/>
  <c r="AF83" i="4" s="1"/>
  <c r="AH83" i="4" s="1"/>
  <c r="AJ83" i="4" s="1"/>
  <c r="AK83" i="4" s="1"/>
  <c r="AL83" i="4" s="1"/>
  <c r="G98" i="4"/>
  <c r="H98" i="4" s="1"/>
  <c r="J98" i="4" s="1"/>
  <c r="L98" i="4" s="1"/>
  <c r="M98" i="4" s="1"/>
  <c r="N98" i="4" s="1"/>
  <c r="K100" i="4"/>
  <c r="S103" i="4"/>
  <c r="T103" i="4" s="1"/>
  <c r="V103" i="4" s="1"/>
  <c r="X103" i="4" s="1"/>
  <c r="Y103" i="4" s="1"/>
  <c r="AG104" i="4"/>
  <c r="W105" i="4"/>
  <c r="I111" i="4"/>
  <c r="AG112" i="4"/>
  <c r="W114" i="4"/>
  <c r="AF122" i="4"/>
  <c r="AH122" i="4" s="1"/>
  <c r="AJ122" i="4" s="1"/>
  <c r="AK122" i="4" s="1"/>
  <c r="AL122" i="4" s="1"/>
  <c r="S131" i="4"/>
  <c r="G111" i="4"/>
  <c r="H111" i="4" s="1"/>
  <c r="J111" i="4" s="1"/>
  <c r="L111" i="4" s="1"/>
  <c r="M111" i="4" s="1"/>
  <c r="N111" i="4" s="1"/>
  <c r="AG111" i="4"/>
  <c r="U111" i="4"/>
  <c r="T121" i="4"/>
  <c r="V121" i="4" s="1"/>
  <c r="X121" i="4" s="1"/>
  <c r="Y121" i="4" s="1"/>
  <c r="Z121" i="4" s="1"/>
  <c r="AI122" i="4"/>
  <c r="AG122" i="4"/>
  <c r="I122" i="4"/>
  <c r="G10" i="5" a="1"/>
  <c r="G10" i="5" s="1"/>
  <c r="I10" i="5" s="1"/>
  <c r="C30" i="6" s="1"/>
  <c r="U122" i="4"/>
  <c r="N123" i="4"/>
  <c r="AF123" i="4"/>
  <c r="S146" i="4"/>
  <c r="T146" i="4" s="1"/>
  <c r="V146" i="4" s="1"/>
  <c r="X146" i="4" s="1"/>
  <c r="Y146" i="4" s="1"/>
  <c r="Z146" i="4" s="1"/>
  <c r="AI146" i="4"/>
  <c r="W146" i="4"/>
  <c r="T147" i="4"/>
  <c r="T148" i="4"/>
  <c r="V148" i="4" s="1"/>
  <c r="X148" i="4" s="1"/>
  <c r="Y148" i="4" s="1"/>
  <c r="Z148" i="4" s="1"/>
  <c r="V149" i="4"/>
  <c r="X149" i="4" s="1"/>
  <c r="Y149" i="4" s="1"/>
  <c r="Z149" i="4" s="1"/>
  <c r="AG153" i="4"/>
  <c r="AH153" i="4" s="1"/>
  <c r="AJ153" i="4" s="1"/>
  <c r="AK153" i="4" s="1"/>
  <c r="AL153" i="4" s="1"/>
  <c r="AG157" i="4"/>
  <c r="AG161" i="4"/>
  <c r="AH161" i="4" s="1"/>
  <c r="AJ161" i="4" s="1"/>
  <c r="AK161" i="4" s="1"/>
  <c r="AL161" i="4" s="1"/>
  <c r="AH175" i="4"/>
  <c r="AJ175" i="4" s="1"/>
  <c r="AK175" i="4" s="1"/>
  <c r="C82" i="6"/>
  <c r="D79" i="6"/>
  <c r="C66" i="6"/>
  <c r="D63" i="6"/>
  <c r="C50" i="6"/>
  <c r="D47" i="6"/>
  <c r="C34" i="6"/>
  <c r="D31" i="6"/>
  <c r="I16" i="6"/>
  <c r="D15" i="6"/>
  <c r="J13" i="6"/>
  <c r="C2" i="6"/>
  <c r="E2" i="6" s="1"/>
  <c r="C79" i="6"/>
  <c r="D76" i="6"/>
  <c r="C63" i="6"/>
  <c r="E63" i="6" s="1"/>
  <c r="D60" i="6"/>
  <c r="C47" i="6"/>
  <c r="D44" i="6"/>
  <c r="C31" i="6"/>
  <c r="E31" i="6" s="1"/>
  <c r="D28" i="6"/>
  <c r="C15" i="6"/>
  <c r="I13" i="6"/>
  <c r="D12" i="6"/>
  <c r="J10" i="6"/>
  <c r="G3" i="5"/>
  <c r="I3" i="5" s="1"/>
  <c r="I23" i="6" s="1"/>
  <c r="D72" i="6"/>
  <c r="C59" i="6"/>
  <c r="E59" i="6" s="1"/>
  <c r="D56" i="6"/>
  <c r="C43" i="6"/>
  <c r="D40" i="6"/>
  <c r="C27" i="6"/>
  <c r="E27" i="6" s="1"/>
  <c r="C11" i="6"/>
  <c r="I9" i="6"/>
  <c r="D8" i="6"/>
  <c r="J6" i="6"/>
  <c r="AF135" i="4"/>
  <c r="W143" i="4"/>
  <c r="AG143" i="4"/>
  <c r="AE168" i="4"/>
  <c r="AI168" i="4"/>
  <c r="AL170" i="4"/>
  <c r="AI181" i="4"/>
  <c r="AG181" i="4"/>
  <c r="AE181" i="4"/>
  <c r="AF181" i="4" s="1"/>
  <c r="AE140" i="4"/>
  <c r="AF140" i="4" s="1"/>
  <c r="AH140" i="4" s="1"/>
  <c r="AJ140" i="4" s="1"/>
  <c r="AK140" i="4" s="1"/>
  <c r="U140" i="4"/>
  <c r="Z145" i="4"/>
  <c r="AF168" i="4"/>
  <c r="AH168" i="4" s="1"/>
  <c r="AE170" i="4"/>
  <c r="AF170" i="4" s="1"/>
  <c r="AH170" i="4" s="1"/>
  <c r="AJ170" i="4" s="1"/>
  <c r="AK170" i="4" s="1"/>
  <c r="AI173" i="4"/>
  <c r="AG173" i="4"/>
  <c r="AE173" i="4"/>
  <c r="AE108" i="4"/>
  <c r="AF108" i="4" s="1"/>
  <c r="U108" i="4"/>
  <c r="V108" i="4" s="1"/>
  <c r="X108" i="4" s="1"/>
  <c r="Y108" i="4" s="1"/>
  <c r="Z108" i="4" s="1"/>
  <c r="I118" i="4"/>
  <c r="G118" i="4"/>
  <c r="H118" i="4" s="1"/>
  <c r="J118" i="4" s="1"/>
  <c r="L118" i="4" s="1"/>
  <c r="M118" i="4" s="1"/>
  <c r="N118" i="4" s="1"/>
  <c r="AI118" i="4"/>
  <c r="W121" i="4"/>
  <c r="G122" i="4"/>
  <c r="H122" i="4" s="1"/>
  <c r="AI123" i="4"/>
  <c r="S124" i="4"/>
  <c r="W125" i="4"/>
  <c r="U125" i="4"/>
  <c r="W141" i="4"/>
  <c r="AI154" i="4"/>
  <c r="AI158" i="4"/>
  <c r="AI162" i="4"/>
  <c r="AF173" i="4"/>
  <c r="AH173" i="4" s="1"/>
  <c r="AJ173" i="4" s="1"/>
  <c r="AK173" i="4" s="1"/>
  <c r="AL173" i="4" s="1"/>
  <c r="AI149" i="4"/>
  <c r="AF150" i="4"/>
  <c r="AF158" i="4"/>
  <c r="AH158" i="4" s="1"/>
  <c r="AJ158" i="4" s="1"/>
  <c r="AK158" i="4" s="1"/>
  <c r="AL158" i="4" s="1"/>
  <c r="AF162" i="4"/>
  <c r="AG168" i="4"/>
  <c r="AL178" i="4"/>
  <c r="G9" i="5" a="1"/>
  <c r="G9" i="5" s="1"/>
  <c r="I9" i="5" s="1"/>
  <c r="I24" i="6" s="1"/>
  <c r="AI106" i="4"/>
  <c r="I106" i="4"/>
  <c r="J106" i="4" s="1"/>
  <c r="L106" i="4" s="1"/>
  <c r="M106" i="4" s="1"/>
  <c r="N106" i="4" s="1"/>
  <c r="K111" i="4"/>
  <c r="AE118" i="4"/>
  <c r="AF118" i="4" s="1"/>
  <c r="AH118" i="4" s="1"/>
  <c r="AJ118" i="4" s="1"/>
  <c r="AK118" i="4" s="1"/>
  <c r="AL118" i="4" s="1"/>
  <c r="K9" i="5" a="1"/>
  <c r="K9" i="5" s="1"/>
  <c r="E9" i="5"/>
  <c r="H9" i="5" s="1" a="1"/>
  <c r="H9" i="5" s="1"/>
  <c r="J9" i="5" s="1"/>
  <c r="D24" i="6" s="1"/>
  <c r="K122" i="4"/>
  <c r="AI128" i="4"/>
  <c r="AG128" i="4"/>
  <c r="U128" i="4"/>
  <c r="S129" i="4"/>
  <c r="T129" i="4" s="1"/>
  <c r="V129" i="4" s="1"/>
  <c r="X129" i="4" s="1"/>
  <c r="Y129" i="4" s="1"/>
  <c r="Z129" i="4" s="1"/>
  <c r="AI129" i="4"/>
  <c r="AE129" i="4"/>
  <c r="AF129" i="4" s="1"/>
  <c r="AH129" i="4" s="1"/>
  <c r="S130" i="4"/>
  <c r="AI130" i="4"/>
  <c r="AJ130" i="4" s="1"/>
  <c r="AK130" i="4" s="1"/>
  <c r="AL130" i="4" s="1"/>
  <c r="W130" i="4"/>
  <c r="U131" i="4"/>
  <c r="AG131" i="4"/>
  <c r="AH131" i="4" s="1"/>
  <c r="AJ131" i="4" s="1"/>
  <c r="AK131" i="4" s="1"/>
  <c r="AL131" i="4" s="1"/>
  <c r="AI131" i="4"/>
  <c r="S137" i="4"/>
  <c r="T137" i="4" s="1"/>
  <c r="V137" i="4" s="1"/>
  <c r="X137" i="4" s="1"/>
  <c r="Y137" i="4" s="1"/>
  <c r="Z137" i="4" s="1"/>
  <c r="AI137" i="4"/>
  <c r="AG137" i="4"/>
  <c r="AH137" i="4" s="1"/>
  <c r="AJ137" i="4" s="1"/>
  <c r="AK137" i="4" s="1"/>
  <c r="AL137" i="4" s="1"/>
  <c r="T138" i="4"/>
  <c r="V138" i="4" s="1"/>
  <c r="X138" i="4" s="1"/>
  <c r="Y138" i="4" s="1"/>
  <c r="Z138" i="4" s="1"/>
  <c r="T139" i="4"/>
  <c r="V139" i="4" s="1"/>
  <c r="X139" i="4" s="1"/>
  <c r="Y139" i="4" s="1"/>
  <c r="Z139" i="4" s="1"/>
  <c r="S140" i="4"/>
  <c r="T140" i="4" s="1"/>
  <c r="V140" i="4" s="1"/>
  <c r="AG149" i="4"/>
  <c r="AG156" i="4"/>
  <c r="AH156" i="4" s="1"/>
  <c r="AJ156" i="4" s="1"/>
  <c r="AK156" i="4" s="1"/>
  <c r="AL156" i="4" s="1"/>
  <c r="AG160" i="4"/>
  <c r="AG164" i="4"/>
  <c r="AH164" i="4" s="1"/>
  <c r="AJ164" i="4" s="1"/>
  <c r="AK164" i="4" s="1"/>
  <c r="AL164" i="4" s="1"/>
  <c r="AI171" i="4"/>
  <c r="AF176" i="4"/>
  <c r="AH176" i="4" s="1"/>
  <c r="AJ176" i="4" s="1"/>
  <c r="AK176" i="4" s="1"/>
  <c r="AL176" i="4" s="1"/>
  <c r="AG182" i="4"/>
  <c r="AE182" i="4"/>
  <c r="AF182" i="4" s="1"/>
  <c r="AH182" i="4" s="1"/>
  <c r="K117" i="4"/>
  <c r="AE124" i="4"/>
  <c r="K124" i="4"/>
  <c r="T130" i="4"/>
  <c r="V130" i="4" s="1"/>
  <c r="X130" i="4" s="1"/>
  <c r="Y130" i="4" s="1"/>
  <c r="T131" i="4"/>
  <c r="V131" i="4" s="1"/>
  <c r="X131" i="4" s="1"/>
  <c r="Y131" i="4" s="1"/>
  <c r="Z131" i="4" s="1"/>
  <c r="AE133" i="4"/>
  <c r="AF133" i="4" s="1"/>
  <c r="AH133" i="4" s="1"/>
  <c r="AJ133" i="4" s="1"/>
  <c r="AK133" i="4" s="1"/>
  <c r="AL133" i="4" s="1"/>
  <c r="W136" i="4"/>
  <c r="AI136" i="4"/>
  <c r="AJ136" i="4" s="1"/>
  <c r="AK136" i="4" s="1"/>
  <c r="AL136" i="4" s="1"/>
  <c r="U143" i="4"/>
  <c r="V143" i="4" s="1"/>
  <c r="X143" i="4" s="1"/>
  <c r="Y143" i="4" s="1"/>
  <c r="Z143" i="4" s="1"/>
  <c r="AG176" i="4"/>
  <c r="U132" i="4"/>
  <c r="AE132" i="4"/>
  <c r="AF132" i="4" s="1"/>
  <c r="AH132" i="4" s="1"/>
  <c r="AJ132" i="4" s="1"/>
  <c r="AK132" i="4" s="1"/>
  <c r="AL132" i="4" s="1"/>
  <c r="AG135" i="4"/>
  <c r="W140" i="4"/>
  <c r="K113" i="4"/>
  <c r="U120" i="4"/>
  <c r="U130" i="4"/>
  <c r="AE147" i="4"/>
  <c r="AF147" i="4" s="1"/>
  <c r="AG179" i="4"/>
  <c r="AI182" i="4"/>
  <c r="AF125" i="4"/>
  <c r="AF141" i="4"/>
  <c r="AH141" i="4" s="1"/>
  <c r="AJ141" i="4" s="1"/>
  <c r="AK141" i="4" s="1"/>
  <c r="AE165" i="4"/>
  <c r="AI165" i="4"/>
  <c r="AF171" i="4"/>
  <c r="AH171" i="4" s="1"/>
  <c r="AJ171" i="4" s="1"/>
  <c r="AK171" i="4" s="1"/>
  <c r="AL171" i="4" s="1"/>
  <c r="AE174" i="4"/>
  <c r="AF174" i="4" s="1"/>
  <c r="AH174" i="4" s="1"/>
  <c r="AJ174" i="4" s="1"/>
  <c r="AK174" i="4" s="1"/>
  <c r="AL174" i="4" s="1"/>
  <c r="AD179" i="4"/>
  <c r="D11" i="5"/>
  <c r="F23" i="6" s="1"/>
  <c r="V133" i="4"/>
  <c r="AH146" i="4"/>
  <c r="AJ146" i="4" s="1"/>
  <c r="AK146" i="4" s="1"/>
  <c r="AL146" i="4" s="1"/>
  <c r="W152" i="4"/>
  <c r="AI152" i="4"/>
  <c r="AF165" i="4"/>
  <c r="AH165" i="4" s="1"/>
  <c r="K7" i="5"/>
  <c r="E7" i="5"/>
  <c r="H7" i="5" s="1"/>
  <c r="J7" i="5" s="1"/>
  <c r="D86" i="6" s="1"/>
  <c r="I100" i="4"/>
  <c r="AG108" i="4"/>
  <c r="H117" i="4"/>
  <c r="J117" i="4" s="1"/>
  <c r="L117" i="4" s="1"/>
  <c r="M117" i="4" s="1"/>
  <c r="N117" i="4" s="1"/>
  <c r="AG121" i="4"/>
  <c r="AH121" i="4" s="1"/>
  <c r="AJ121" i="4" s="1"/>
  <c r="AK121" i="4" s="1"/>
  <c r="AL121" i="4" s="1"/>
  <c r="Z122" i="4"/>
  <c r="AG123" i="4"/>
  <c r="AE123" i="4"/>
  <c r="G123" i="4"/>
  <c r="H123" i="4" s="1"/>
  <c r="J123" i="4" s="1"/>
  <c r="L123" i="4" s="1"/>
  <c r="M123" i="4" s="1"/>
  <c r="W123" i="4"/>
  <c r="X123" i="4" s="1"/>
  <c r="Y123" i="4" s="1"/>
  <c r="Z123" i="4" s="1"/>
  <c r="W129" i="4"/>
  <c r="W131" i="4"/>
  <c r="S132" i="4"/>
  <c r="T132" i="4" s="1"/>
  <c r="V132" i="4" s="1"/>
  <c r="X132" i="4" s="1"/>
  <c r="Y132" i="4" s="1"/>
  <c r="Z132" i="4" s="1"/>
  <c r="U136" i="4"/>
  <c r="V136" i="4" s="1"/>
  <c r="X136" i="4" s="1"/>
  <c r="Y136" i="4" s="1"/>
  <c r="Z136" i="4" s="1"/>
  <c r="AE143" i="4"/>
  <c r="AF143" i="4" s="1"/>
  <c r="AH143" i="4" s="1"/>
  <c r="AJ143" i="4" s="1"/>
  <c r="AK143" i="4" s="1"/>
  <c r="AL143" i="4" s="1"/>
  <c r="AG146" i="4"/>
  <c r="AG151" i="4"/>
  <c r="AE167" i="4"/>
  <c r="AF167" i="4" s="1"/>
  <c r="AH167" i="4" s="1"/>
  <c r="AJ167" i="4" s="1"/>
  <c r="AK167" i="4" s="1"/>
  <c r="AL167" i="4" s="1"/>
  <c r="G12" i="5" a="1"/>
  <c r="G12" i="5" s="1"/>
  <c r="I12" i="5" s="1"/>
  <c r="I91" i="6" s="1"/>
  <c r="AI180" i="4"/>
  <c r="AG180" i="4"/>
  <c r="T109" i="4"/>
  <c r="V109" i="4" s="1"/>
  <c r="X109" i="4" s="1"/>
  <c r="Y109" i="4" s="1"/>
  <c r="Z110" i="4"/>
  <c r="S111" i="4"/>
  <c r="T111" i="4" s="1"/>
  <c r="V111" i="4" s="1"/>
  <c r="X111" i="4" s="1"/>
  <c r="Y111" i="4" s="1"/>
  <c r="Z111" i="4" s="1"/>
  <c r="W112" i="4"/>
  <c r="G119" i="4"/>
  <c r="H119" i="4" s="1"/>
  <c r="J119" i="4" s="1"/>
  <c r="L119" i="4" s="1"/>
  <c r="M119" i="4" s="1"/>
  <c r="W119" i="4"/>
  <c r="AG119" i="4"/>
  <c r="S122" i="4"/>
  <c r="T122" i="4" s="1"/>
  <c r="V122" i="4" s="1"/>
  <c r="X122" i="4" s="1"/>
  <c r="Y122" i="4" s="1"/>
  <c r="I124" i="4"/>
  <c r="J124" i="4" s="1"/>
  <c r="L124" i="4" s="1"/>
  <c r="M124" i="4" s="1"/>
  <c r="N124" i="4" s="1"/>
  <c r="AG124" i="4"/>
  <c r="AF126" i="4"/>
  <c r="AH126" i="4" s="1"/>
  <c r="AJ126" i="4" s="1"/>
  <c r="AK126" i="4" s="1"/>
  <c r="AL126" i="4" s="1"/>
  <c r="W128" i="4"/>
  <c r="W132" i="4"/>
  <c r="AL139" i="4"/>
  <c r="AL140" i="4"/>
  <c r="AG141" i="4"/>
  <c r="Z152" i="4"/>
  <c r="AG165" i="4"/>
  <c r="AG169" i="4"/>
  <c r="AI108" i="4"/>
  <c r="U112" i="4"/>
  <c r="S118" i="4"/>
  <c r="T118" i="4" s="1"/>
  <c r="V118" i="4" s="1"/>
  <c r="X118" i="4" s="1"/>
  <c r="Y118" i="4" s="1"/>
  <c r="Z118" i="4" s="1"/>
  <c r="AI124" i="4"/>
  <c r="AG125" i="4"/>
  <c r="AI142" i="4"/>
  <c r="AJ142" i="4" s="1"/>
  <c r="AK142" i="4" s="1"/>
  <c r="AL142" i="4" s="1"/>
  <c r="AI143" i="4"/>
  <c r="U147" i="4"/>
  <c r="AG147" i="4"/>
  <c r="U148" i="4"/>
  <c r="S148" i="4"/>
  <c r="AE148" i="4"/>
  <c r="AF148" i="4" s="1"/>
  <c r="AH148" i="4" s="1"/>
  <c r="AJ148" i="4" s="1"/>
  <c r="AK148" i="4" s="1"/>
  <c r="AL148" i="4" s="1"/>
  <c r="S152" i="4"/>
  <c r="T152" i="4" s="1"/>
  <c r="V152" i="4" s="1"/>
  <c r="X152" i="4" s="1"/>
  <c r="Y152" i="4" s="1"/>
  <c r="AG155" i="4"/>
  <c r="AH155" i="4" s="1"/>
  <c r="AJ155" i="4" s="1"/>
  <c r="AK155" i="4" s="1"/>
  <c r="AL155" i="4" s="1"/>
  <c r="AG159" i="4"/>
  <c r="AH159" i="4" s="1"/>
  <c r="AJ159" i="4" s="1"/>
  <c r="AK159" i="4" s="1"/>
  <c r="AL159" i="4" s="1"/>
  <c r="AG163" i="4"/>
  <c r="AH163" i="4" s="1"/>
  <c r="AJ163" i="4" s="1"/>
  <c r="AK163" i="4" s="1"/>
  <c r="AL163" i="4" s="1"/>
  <c r="AI167" i="4"/>
  <c r="AE172" i="4"/>
  <c r="AF172" i="4" s="1"/>
  <c r="AH172" i="4" s="1"/>
  <c r="AJ172" i="4" s="1"/>
  <c r="AK172" i="4" s="1"/>
  <c r="AD180" i="4"/>
  <c r="D12" i="5"/>
  <c r="F25" i="6" s="1"/>
  <c r="U144" i="4"/>
  <c r="AL172" i="4"/>
  <c r="AF185" i="4"/>
  <c r="AH185" i="4" s="1"/>
  <c r="AJ185" i="4" s="1"/>
  <c r="AK185" i="4" s="1"/>
  <c r="AL185" i="4" s="1"/>
  <c r="AF183" i="4"/>
  <c r="AH183" i="4" s="1"/>
  <c r="AJ183" i="4" s="1"/>
  <c r="AK183" i="4" s="1"/>
  <c r="AL183" i="4" s="1"/>
  <c r="AE183" i="4"/>
  <c r="AG185" i="4"/>
  <c r="AE112" i="4"/>
  <c r="AF112" i="4" s="1"/>
  <c r="AH112" i="4" s="1"/>
  <c r="AJ112" i="4" s="1"/>
  <c r="AK112" i="4" s="1"/>
  <c r="AL112" i="4" s="1"/>
  <c r="AE120" i="4"/>
  <c r="AF120" i="4" s="1"/>
  <c r="AH120" i="4" s="1"/>
  <c r="AJ120" i="4" s="1"/>
  <c r="AK120" i="4" s="1"/>
  <c r="AL120" i="4" s="1"/>
  <c r="K121" i="4"/>
  <c r="W133" i="4"/>
  <c r="AG134" i="4"/>
  <c r="AG150" i="4"/>
  <c r="AL169" i="4"/>
  <c r="G7" i="5"/>
  <c r="I7" i="5" s="1"/>
  <c r="I87" i="6" s="1"/>
  <c r="AG166" i="4"/>
  <c r="AG144" i="4"/>
  <c r="AG154" i="4"/>
  <c r="AG158" i="4"/>
  <c r="AG162" i="4"/>
  <c r="AL175" i="4"/>
  <c r="AD184" i="4"/>
  <c r="AE184" i="4" s="1"/>
  <c r="AF184" i="4" s="1"/>
  <c r="AH184" i="4" s="1"/>
  <c r="AJ184" i="4" s="1"/>
  <c r="AK184" i="4" s="1"/>
  <c r="D13" i="5"/>
  <c r="F75" i="6" s="1"/>
  <c r="G5" i="5"/>
  <c r="I5" i="5" s="1"/>
  <c r="C25" i="6" s="1"/>
  <c r="E25" i="6" s="1"/>
  <c r="AL177" i="4"/>
  <c r="C75" i="6"/>
  <c r="E75" i="6" s="1"/>
  <c r="C91" i="6"/>
  <c r="E91" i="6" s="1"/>
  <c r="J9" i="6"/>
  <c r="D11" i="6"/>
  <c r="I12" i="6"/>
  <c r="C14" i="6"/>
  <c r="D27" i="6"/>
  <c r="J41" i="6"/>
  <c r="D43" i="6"/>
  <c r="I44" i="6"/>
  <c r="C46" i="6"/>
  <c r="D59" i="6"/>
  <c r="I60" i="6"/>
  <c r="C62" i="6"/>
  <c r="E62" i="6" s="1"/>
  <c r="J73" i="6"/>
  <c r="D75" i="6"/>
  <c r="I76" i="6"/>
  <c r="C78" i="6"/>
  <c r="D91" i="6"/>
  <c r="J12" i="6"/>
  <c r="D14" i="6"/>
  <c r="I15" i="6"/>
  <c r="C17" i="6"/>
  <c r="C33" i="6"/>
  <c r="E33" i="6" s="1"/>
  <c r="J44" i="6"/>
  <c r="D46" i="6"/>
  <c r="I47" i="6"/>
  <c r="C49" i="6"/>
  <c r="J60" i="6"/>
  <c r="D62" i="6"/>
  <c r="I63" i="6"/>
  <c r="C65" i="6"/>
  <c r="E65" i="6" s="1"/>
  <c r="J76" i="6"/>
  <c r="D78" i="6"/>
  <c r="I79" i="6"/>
  <c r="C81" i="6"/>
  <c r="I2" i="6"/>
  <c r="C4" i="6"/>
  <c r="E4" i="6" s="1"/>
  <c r="J15" i="6"/>
  <c r="D17" i="6"/>
  <c r="I18" i="6"/>
  <c r="C20" i="6"/>
  <c r="D33" i="6"/>
  <c r="I34" i="6"/>
  <c r="C36" i="6"/>
  <c r="J47" i="6"/>
  <c r="D49" i="6"/>
  <c r="I50" i="6"/>
  <c r="C52" i="6"/>
  <c r="J63" i="6"/>
  <c r="D65" i="6"/>
  <c r="I66" i="6"/>
  <c r="C68" i="6"/>
  <c r="E68" i="6" s="1"/>
  <c r="J79" i="6"/>
  <c r="D81" i="6"/>
  <c r="I82" i="6"/>
  <c r="C84" i="6"/>
  <c r="J2" i="6"/>
  <c r="D4" i="6"/>
  <c r="I5" i="6"/>
  <c r="C7" i="6"/>
  <c r="D20" i="6"/>
  <c r="I21" i="6"/>
  <c r="C23" i="6"/>
  <c r="J34" i="6"/>
  <c r="D36" i="6"/>
  <c r="I37" i="6"/>
  <c r="C39" i="6"/>
  <c r="E39" i="6" s="1"/>
  <c r="D52" i="6"/>
  <c r="I53" i="6"/>
  <c r="C55" i="6"/>
  <c r="J66" i="6"/>
  <c r="D68" i="6"/>
  <c r="I69" i="6"/>
  <c r="C71" i="6"/>
  <c r="J82" i="6"/>
  <c r="D84" i="6"/>
  <c r="I85" i="6"/>
  <c r="C87" i="6"/>
  <c r="J5" i="6"/>
  <c r="D7" i="6"/>
  <c r="I8" i="6"/>
  <c r="C10" i="6"/>
  <c r="E10" i="6" s="1"/>
  <c r="C26" i="6"/>
  <c r="J37" i="6"/>
  <c r="D39" i="6"/>
  <c r="I40" i="6"/>
  <c r="C42" i="6"/>
  <c r="D55" i="6"/>
  <c r="I56" i="6"/>
  <c r="C58" i="6"/>
  <c r="J69" i="6"/>
  <c r="D71" i="6"/>
  <c r="I72" i="6"/>
  <c r="C74" i="6"/>
  <c r="E74" i="6" s="1"/>
  <c r="J85" i="6"/>
  <c r="C90" i="6"/>
  <c r="J8" i="6"/>
  <c r="D10" i="6"/>
  <c r="I11" i="6"/>
  <c r="C13" i="6"/>
  <c r="D26" i="6"/>
  <c r="C29" i="6"/>
  <c r="J40" i="6"/>
  <c r="D42" i="6"/>
  <c r="I43" i="6"/>
  <c r="C45" i="6"/>
  <c r="E45" i="6" s="1"/>
  <c r="D58" i="6"/>
  <c r="I59" i="6"/>
  <c r="C61" i="6"/>
  <c r="J72" i="6"/>
  <c r="D74" i="6"/>
  <c r="I75" i="6"/>
  <c r="C77" i="6"/>
  <c r="D90" i="6"/>
  <c r="C93" i="6"/>
  <c r="J11" i="6"/>
  <c r="D13" i="6"/>
  <c r="I14" i="6"/>
  <c r="C16" i="6"/>
  <c r="E16" i="6" s="1"/>
  <c r="D29" i="6"/>
  <c r="C32" i="6"/>
  <c r="J43" i="6"/>
  <c r="D45" i="6"/>
  <c r="I46" i="6"/>
  <c r="C48" i="6"/>
  <c r="D61" i="6"/>
  <c r="I62" i="6"/>
  <c r="C64" i="6"/>
  <c r="J75" i="6"/>
  <c r="D77" i="6"/>
  <c r="I78" i="6"/>
  <c r="C80" i="6"/>
  <c r="E80" i="6" s="1"/>
  <c r="D93" i="6"/>
  <c r="C3" i="6"/>
  <c r="E3" i="6" s="1"/>
  <c r="J14" i="6"/>
  <c r="D16" i="6"/>
  <c r="I17" i="6"/>
  <c r="D32" i="6"/>
  <c r="I33" i="6"/>
  <c r="C35" i="6"/>
  <c r="E35" i="6" s="1"/>
  <c r="J46" i="6"/>
  <c r="D48" i="6"/>
  <c r="I49" i="6"/>
  <c r="C51" i="6"/>
  <c r="J62" i="6"/>
  <c r="D64" i="6"/>
  <c r="I65" i="6"/>
  <c r="C67" i="6"/>
  <c r="E67" i="6" s="1"/>
  <c r="J78" i="6"/>
  <c r="D80" i="6"/>
  <c r="I81" i="6"/>
  <c r="C83" i="6"/>
  <c r="D3" i="6"/>
  <c r="I4" i="6"/>
  <c r="C6" i="6"/>
  <c r="J17" i="6"/>
  <c r="I20" i="6"/>
  <c r="C22" i="6"/>
  <c r="E22" i="6" s="1"/>
  <c r="J33" i="6"/>
  <c r="D35" i="6"/>
  <c r="I36" i="6"/>
  <c r="C38" i="6"/>
  <c r="E38" i="6" s="1"/>
  <c r="J49" i="6"/>
  <c r="D51" i="6"/>
  <c r="I52" i="6"/>
  <c r="C54" i="6"/>
  <c r="E54" i="6" s="1"/>
  <c r="J65" i="6"/>
  <c r="D67" i="6"/>
  <c r="I68" i="6"/>
  <c r="C70" i="6"/>
  <c r="J81" i="6"/>
  <c r="D83" i="6"/>
  <c r="I84" i="6"/>
  <c r="C86" i="6"/>
  <c r="J4" i="6"/>
  <c r="D6" i="6"/>
  <c r="I7" i="6"/>
  <c r="C9" i="6"/>
  <c r="E9" i="6" s="1"/>
  <c r="J20" i="6"/>
  <c r="D22" i="6"/>
  <c r="J36" i="6"/>
  <c r="D38" i="6"/>
  <c r="I39" i="6"/>
  <c r="C41" i="6"/>
  <c r="D54" i="6"/>
  <c r="I55" i="6"/>
  <c r="C57" i="6"/>
  <c r="E57" i="6" s="1"/>
  <c r="J68" i="6"/>
  <c r="D70" i="6"/>
  <c r="I71" i="6"/>
  <c r="C73" i="6"/>
  <c r="E73" i="6" s="1"/>
  <c r="J84" i="6"/>
  <c r="C89" i="6"/>
  <c r="E89" i="6" s="1"/>
  <c r="J7" i="6"/>
  <c r="D9" i="6"/>
  <c r="I10" i="6"/>
  <c r="C12" i="6"/>
  <c r="E12" i="6" s="1"/>
  <c r="C28" i="6"/>
  <c r="E28" i="6" s="1"/>
  <c r="J39" i="6"/>
  <c r="D41" i="6"/>
  <c r="I42" i="6"/>
  <c r="C44" i="6"/>
  <c r="E44" i="6" s="1"/>
  <c r="J55" i="6"/>
  <c r="D57" i="6"/>
  <c r="I58" i="6"/>
  <c r="C60" i="6"/>
  <c r="E60" i="6" s="1"/>
  <c r="J71" i="6"/>
  <c r="D73" i="6"/>
  <c r="I74" i="6"/>
  <c r="C76" i="6"/>
  <c r="E76" i="6" s="1"/>
  <c r="D89" i="6"/>
  <c r="I93" i="6"/>
  <c r="J93" i="6"/>
  <c r="D2" i="6"/>
  <c r="I3" i="6"/>
  <c r="C5" i="6"/>
  <c r="J16" i="6"/>
  <c r="C21" i="6"/>
  <c r="J32" i="6"/>
  <c r="D34" i="6"/>
  <c r="I35" i="6"/>
  <c r="C37" i="6"/>
  <c r="J48" i="6"/>
  <c r="I51" i="6"/>
  <c r="C53" i="6"/>
  <c r="E53" i="6" s="1"/>
  <c r="J64" i="6"/>
  <c r="D66" i="6"/>
  <c r="I67" i="6"/>
  <c r="C69" i="6"/>
  <c r="J80" i="6"/>
  <c r="D82" i="6"/>
  <c r="I83" i="6"/>
  <c r="C85" i="6"/>
  <c r="J3" i="6"/>
  <c r="D5" i="6"/>
  <c r="I6" i="6"/>
  <c r="C8" i="6"/>
  <c r="D21" i="6"/>
  <c r="J35" i="6"/>
  <c r="D37" i="6"/>
  <c r="I38" i="6"/>
  <c r="C40" i="6"/>
  <c r="E40" i="6" s="1"/>
  <c r="D53" i="6"/>
  <c r="I54" i="6"/>
  <c r="C56" i="6"/>
  <c r="J67" i="6"/>
  <c r="D69" i="6"/>
  <c r="I70" i="6"/>
  <c r="C72" i="6"/>
  <c r="J83" i="6"/>
  <c r="D85" i="6"/>
  <c r="I86" i="6"/>
  <c r="L5" i="5" l="1"/>
  <c r="AH31" i="4"/>
  <c r="AJ31" i="4" s="1"/>
  <c r="AK31" i="4" s="1"/>
  <c r="AL31" i="4" s="1"/>
  <c r="J56" i="6"/>
  <c r="V147" i="4"/>
  <c r="X147" i="4" s="1"/>
  <c r="Y147" i="4" s="1"/>
  <c r="Z147" i="4" s="1"/>
  <c r="C24" i="6"/>
  <c r="E24" i="6" s="1"/>
  <c r="I31" i="6"/>
  <c r="L121" i="4"/>
  <c r="M121" i="4" s="1"/>
  <c r="N121" i="4" s="1"/>
  <c r="F5" i="6"/>
  <c r="F68" i="6"/>
  <c r="F45" i="6"/>
  <c r="F22" i="6"/>
  <c r="AH56" i="4"/>
  <c r="AJ56" i="4" s="1"/>
  <c r="AK56" i="4" s="1"/>
  <c r="AL56" i="4" s="1"/>
  <c r="L9" i="5"/>
  <c r="I22" i="6"/>
  <c r="E51" i="6"/>
  <c r="J57" i="6"/>
  <c r="J86" i="6"/>
  <c r="AH108" i="4"/>
  <c r="AJ108" i="4" s="1"/>
  <c r="AK108" i="4" s="1"/>
  <c r="AL108" i="4" s="1"/>
  <c r="AH151" i="4"/>
  <c r="AJ151" i="4" s="1"/>
  <c r="AK151" i="4" s="1"/>
  <c r="AL151" i="4" s="1"/>
  <c r="V120" i="4"/>
  <c r="X120" i="4" s="1"/>
  <c r="Y120" i="4" s="1"/>
  <c r="Z120" i="4" s="1"/>
  <c r="V105" i="4"/>
  <c r="X105" i="4" s="1"/>
  <c r="Y105" i="4" s="1"/>
  <c r="Z105" i="4" s="1"/>
  <c r="X128" i="4"/>
  <c r="Y128" i="4" s="1"/>
  <c r="Z128" i="4" s="1"/>
  <c r="L2" i="5"/>
  <c r="F21" i="6"/>
  <c r="F91" i="6"/>
  <c r="F84" i="6"/>
  <c r="F61" i="6"/>
  <c r="J26" i="6"/>
  <c r="J29" i="6"/>
  <c r="F76" i="6"/>
  <c r="AJ38" i="4"/>
  <c r="AK38" i="4" s="1"/>
  <c r="AL38" i="4" s="1"/>
  <c r="AH15" i="4"/>
  <c r="AJ15" i="4" s="1"/>
  <c r="AK15" i="4" s="1"/>
  <c r="AL15" i="4" s="1"/>
  <c r="I88" i="6"/>
  <c r="AL179" i="4"/>
  <c r="AE179" i="4"/>
  <c r="AF179" i="4" s="1"/>
  <c r="AH179" i="4" s="1"/>
  <c r="AJ179" i="4" s="1"/>
  <c r="AK179" i="4" s="1"/>
  <c r="J21" i="6"/>
  <c r="D50" i="6"/>
  <c r="E50" i="6" s="1"/>
  <c r="E86" i="6"/>
  <c r="J28" i="6"/>
  <c r="E46" i="6"/>
  <c r="K12" i="5" a="1"/>
  <c r="K12" i="5" s="1"/>
  <c r="E12" i="5"/>
  <c r="H12" i="5" s="1" a="1"/>
  <c r="H12" i="5" s="1"/>
  <c r="J12" i="5" s="1"/>
  <c r="D88" i="6" s="1"/>
  <c r="E34" i="6"/>
  <c r="F2" i="6"/>
  <c r="G2" i="6" s="1"/>
  <c r="F37" i="6"/>
  <c r="F14" i="6"/>
  <c r="F7" i="6"/>
  <c r="F77" i="6"/>
  <c r="I29" i="6"/>
  <c r="F92" i="6"/>
  <c r="AH13" i="4"/>
  <c r="AJ13" i="4" s="1"/>
  <c r="AK13" i="4" s="1"/>
  <c r="AL13" i="4" s="1"/>
  <c r="AJ182" i="4"/>
  <c r="AK182" i="4" s="1"/>
  <c r="AL182" i="4" s="1"/>
  <c r="AH135" i="4"/>
  <c r="AJ135" i="4" s="1"/>
  <c r="AK135" i="4" s="1"/>
  <c r="AL135" i="4" s="1"/>
  <c r="AH123" i="4"/>
  <c r="AJ123" i="4" s="1"/>
  <c r="AK123" i="4" s="1"/>
  <c r="AL123" i="4" s="1"/>
  <c r="X107" i="4"/>
  <c r="Y107" i="4" s="1"/>
  <c r="Z107" i="4" s="1"/>
  <c r="AH166" i="4"/>
  <c r="AJ166" i="4" s="1"/>
  <c r="AK166" i="4" s="1"/>
  <c r="AL166" i="4" s="1"/>
  <c r="F18" i="6"/>
  <c r="F53" i="6"/>
  <c r="F30" i="6"/>
  <c r="F38" i="6"/>
  <c r="F41" i="6"/>
  <c r="F15" i="6"/>
  <c r="AJ102" i="4"/>
  <c r="AK102" i="4" s="1"/>
  <c r="AL102" i="4" s="1"/>
  <c r="V96" i="4"/>
  <c r="X96" i="4" s="1"/>
  <c r="Y96" i="4" s="1"/>
  <c r="Z96" i="4" s="1"/>
  <c r="J5" i="4"/>
  <c r="L5" i="4" s="1"/>
  <c r="M5" i="4" s="1"/>
  <c r="N5" i="4" s="1"/>
  <c r="I30" i="6"/>
  <c r="X53" i="4"/>
  <c r="Y53" i="4" s="1"/>
  <c r="Z53" i="4" s="1"/>
  <c r="AH21" i="4"/>
  <c r="AJ21" i="4" s="1"/>
  <c r="AK21" i="4" s="1"/>
  <c r="AL21" i="4" s="1"/>
  <c r="J50" i="6"/>
  <c r="X117" i="4"/>
  <c r="Y117" i="4" s="1"/>
  <c r="Z117" i="4" s="1"/>
  <c r="J19" i="6"/>
  <c r="I90" i="6"/>
  <c r="I26" i="6"/>
  <c r="E81" i="6"/>
  <c r="E17" i="6"/>
  <c r="AE180" i="4"/>
  <c r="AF180" i="4" s="1"/>
  <c r="AH180" i="4" s="1"/>
  <c r="AJ180" i="4" s="1"/>
  <c r="AK180" i="4" s="1"/>
  <c r="AL180" i="4" s="1"/>
  <c r="E72" i="6"/>
  <c r="E8" i="6"/>
  <c r="E37" i="6"/>
  <c r="E64" i="6"/>
  <c r="E93" i="6"/>
  <c r="E29" i="6"/>
  <c r="E58" i="6"/>
  <c r="E23" i="6"/>
  <c r="E52" i="6"/>
  <c r="L7" i="5"/>
  <c r="AH125" i="4"/>
  <c r="AJ125" i="4" s="1"/>
  <c r="AK125" i="4" s="1"/>
  <c r="AL125" i="4" s="1"/>
  <c r="E15" i="6"/>
  <c r="J22" i="6"/>
  <c r="F69" i="6"/>
  <c r="F46" i="6"/>
  <c r="F39" i="6"/>
  <c r="F16" i="6"/>
  <c r="J42" i="6"/>
  <c r="J45" i="6"/>
  <c r="F31" i="6"/>
  <c r="AJ68" i="4"/>
  <c r="AK68" i="4" s="1"/>
  <c r="AL68" i="4" s="1"/>
  <c r="V125" i="4"/>
  <c r="X125" i="4" s="1"/>
  <c r="Y125" i="4" s="1"/>
  <c r="Z125" i="4" s="1"/>
  <c r="V7" i="4"/>
  <c r="X7" i="4" s="1"/>
  <c r="Y7" i="4" s="1"/>
  <c r="Z7" i="4" s="1"/>
  <c r="L6" i="5"/>
  <c r="F60" i="6" s="1"/>
  <c r="AH104" i="4"/>
  <c r="AJ104" i="4" s="1"/>
  <c r="AK104" i="4" s="1"/>
  <c r="AL104" i="4" s="1"/>
  <c r="L103" i="4"/>
  <c r="M103" i="4" s="1"/>
  <c r="N103" i="4" s="1"/>
  <c r="AH103" i="4"/>
  <c r="AJ103" i="4" s="1"/>
  <c r="AK103" i="4" s="1"/>
  <c r="AL103" i="4" s="1"/>
  <c r="AJ37" i="4"/>
  <c r="AK37" i="4" s="1"/>
  <c r="AL37" i="4" s="1"/>
  <c r="I25" i="6"/>
  <c r="F85" i="6"/>
  <c r="F62" i="6"/>
  <c r="F55" i="6"/>
  <c r="I45" i="6"/>
  <c r="I48" i="6"/>
  <c r="F47" i="6"/>
  <c r="L105" i="4"/>
  <c r="M105" i="4" s="1"/>
  <c r="N105" i="4" s="1"/>
  <c r="AH3" i="4"/>
  <c r="AJ3" i="4" s="1"/>
  <c r="AK3" i="4" s="1"/>
  <c r="AL3" i="4" s="1"/>
  <c r="AH5" i="4"/>
  <c r="AJ5" i="4" s="1"/>
  <c r="AK5" i="4" s="1"/>
  <c r="AL5" i="4" s="1"/>
  <c r="V15" i="4"/>
  <c r="X15" i="4" s="1"/>
  <c r="Y15" i="4" s="1"/>
  <c r="Z15" i="4" s="1"/>
  <c r="X102" i="4"/>
  <c r="Y102" i="4" s="1"/>
  <c r="Z102" i="4" s="1"/>
  <c r="F34" i="6"/>
  <c r="F8" i="6"/>
  <c r="F78" i="6"/>
  <c r="F71" i="6"/>
  <c r="F48" i="6"/>
  <c r="F54" i="6"/>
  <c r="F57" i="6"/>
  <c r="F63" i="6"/>
  <c r="L4" i="5"/>
  <c r="V9" i="4"/>
  <c r="X9" i="4" s="1"/>
  <c r="Y9" i="4" s="1"/>
  <c r="Z9" i="4" s="1"/>
  <c r="X97" i="4"/>
  <c r="Y97" i="4" s="1"/>
  <c r="Z97" i="4" s="1"/>
  <c r="J7" i="4"/>
  <c r="L7" i="4" s="1"/>
  <c r="M7" i="4" s="1"/>
  <c r="N7" i="4" s="1"/>
  <c r="E41" i="6"/>
  <c r="E6" i="6"/>
  <c r="K13" i="5" a="1"/>
  <c r="K13" i="5" s="1"/>
  <c r="E13" i="5"/>
  <c r="H13" i="5" s="1" a="1"/>
  <c r="H13" i="5" s="1"/>
  <c r="J13" i="5" s="1"/>
  <c r="D92" i="6" s="1"/>
  <c r="E92" i="6" s="1"/>
  <c r="E66" i="6"/>
  <c r="J59" i="6"/>
  <c r="J24" i="6"/>
  <c r="I92" i="6"/>
  <c r="X124" i="4"/>
  <c r="Y124" i="4" s="1"/>
  <c r="Z124" i="4" s="1"/>
  <c r="F24" i="6"/>
  <c r="F17" i="6"/>
  <c r="F64" i="6"/>
  <c r="J58" i="6"/>
  <c r="F79" i="6"/>
  <c r="E56" i="6"/>
  <c r="E85" i="6"/>
  <c r="E21" i="6"/>
  <c r="E48" i="6"/>
  <c r="E77" i="6"/>
  <c r="E13" i="6"/>
  <c r="E42" i="6"/>
  <c r="E71" i="6"/>
  <c r="E7" i="6"/>
  <c r="E36" i="6"/>
  <c r="AJ129" i="4"/>
  <c r="AK129" i="4" s="1"/>
  <c r="AL129" i="4" s="1"/>
  <c r="E11" i="6"/>
  <c r="E47" i="6"/>
  <c r="E82" i="6"/>
  <c r="X119" i="4"/>
  <c r="Y119" i="4" s="1"/>
  <c r="Z119" i="4" s="1"/>
  <c r="X141" i="4"/>
  <c r="Y141" i="4" s="1"/>
  <c r="Z141" i="4" s="1"/>
  <c r="V98" i="4"/>
  <c r="X98" i="4" s="1"/>
  <c r="Y98" i="4" s="1"/>
  <c r="Z98" i="4" s="1"/>
  <c r="I41" i="6"/>
  <c r="F40" i="6"/>
  <c r="F33" i="6"/>
  <c r="F10" i="6"/>
  <c r="F80" i="6"/>
  <c r="I61" i="6"/>
  <c r="I64" i="6"/>
  <c r="J29" i="4"/>
  <c r="L29" i="4" s="1"/>
  <c r="M29" i="4" s="1"/>
  <c r="N29" i="4" s="1"/>
  <c r="V28" i="4"/>
  <c r="X28" i="4" s="1"/>
  <c r="Y28" i="4" s="1"/>
  <c r="Z28" i="4" s="1"/>
  <c r="J100" i="4"/>
  <c r="L100" i="4" s="1"/>
  <c r="M100" i="4" s="1"/>
  <c r="N100" i="4" s="1"/>
  <c r="AJ29" i="4"/>
  <c r="AK29" i="4" s="1"/>
  <c r="AL29" i="4" s="1"/>
  <c r="AH26" i="4"/>
  <c r="AJ26" i="4" s="1"/>
  <c r="AK26" i="4" s="1"/>
  <c r="AL26" i="4" s="1"/>
  <c r="J27" i="6"/>
  <c r="I89" i="6"/>
  <c r="J23" i="6"/>
  <c r="J52" i="6"/>
  <c r="I27" i="6"/>
  <c r="C88" i="6"/>
  <c r="E70" i="6"/>
  <c r="J53" i="6"/>
  <c r="J18" i="6"/>
  <c r="I28" i="6"/>
  <c r="AL184" i="4"/>
  <c r="AJ165" i="4"/>
  <c r="AK165" i="4" s="1"/>
  <c r="AL165" i="4" s="1"/>
  <c r="F87" i="6"/>
  <c r="I19" i="6"/>
  <c r="E83" i="6"/>
  <c r="C19" i="6"/>
  <c r="E19" i="6" s="1"/>
  <c r="J25" i="6"/>
  <c r="AH147" i="4"/>
  <c r="AJ147" i="4" s="1"/>
  <c r="AK147" i="4" s="1"/>
  <c r="AL147" i="4" s="1"/>
  <c r="AH162" i="4"/>
  <c r="AJ162" i="4" s="1"/>
  <c r="AK162" i="4" s="1"/>
  <c r="AL162" i="4" s="1"/>
  <c r="F50" i="6"/>
  <c r="F56" i="6"/>
  <c r="F49" i="6"/>
  <c r="F26" i="6"/>
  <c r="F3" i="6"/>
  <c r="F70" i="6"/>
  <c r="F73" i="6"/>
  <c r="AH59" i="4"/>
  <c r="AJ59" i="4" s="1"/>
  <c r="AK59" i="4" s="1"/>
  <c r="AL59" i="4" s="1"/>
  <c r="V59" i="4"/>
  <c r="X59" i="4" s="1"/>
  <c r="Y59" i="4" s="1"/>
  <c r="Z59" i="4" s="1"/>
  <c r="AJ25" i="4"/>
  <c r="AK25" i="4" s="1"/>
  <c r="AL25" i="4" s="1"/>
  <c r="AH27" i="4"/>
  <c r="AJ27" i="4" s="1"/>
  <c r="AK27" i="4" s="1"/>
  <c r="AL27" i="4" s="1"/>
  <c r="AH63" i="4"/>
  <c r="AJ63" i="4" s="1"/>
  <c r="AK63" i="4" s="1"/>
  <c r="AL63" i="4" s="1"/>
  <c r="X115" i="4"/>
  <c r="Y115" i="4" s="1"/>
  <c r="Z115" i="4" s="1"/>
  <c r="J54" i="6"/>
  <c r="F72" i="6"/>
  <c r="F65" i="6"/>
  <c r="F42" i="6"/>
  <c r="F19" i="6"/>
  <c r="J74" i="6"/>
  <c r="J77" i="6"/>
  <c r="AH88" i="4"/>
  <c r="AJ88" i="4" s="1"/>
  <c r="AK88" i="4" s="1"/>
  <c r="AL88" i="4" s="1"/>
  <c r="AH67" i="4"/>
  <c r="AJ67" i="4" s="1"/>
  <c r="AK67" i="4" s="1"/>
  <c r="AL67" i="4" s="1"/>
  <c r="G25" i="4"/>
  <c r="H25" i="4" s="1"/>
  <c r="J25" i="4" s="1"/>
  <c r="L25" i="4" s="1"/>
  <c r="M25" i="4" s="1"/>
  <c r="N25" i="4" s="1"/>
  <c r="AH75" i="4"/>
  <c r="AJ75" i="4" s="1"/>
  <c r="AK75" i="4" s="1"/>
  <c r="AL75" i="4" s="1"/>
  <c r="AH51" i="4"/>
  <c r="AJ51" i="4" s="1"/>
  <c r="AK51" i="4" s="1"/>
  <c r="AL51" i="4" s="1"/>
  <c r="D18" i="6"/>
  <c r="E18" i="6" s="1"/>
  <c r="E78" i="6"/>
  <c r="E14" i="6"/>
  <c r="J122" i="4"/>
  <c r="L122" i="4" s="1"/>
  <c r="M122" i="4" s="1"/>
  <c r="E49" i="6"/>
  <c r="X133" i="4"/>
  <c r="Y133" i="4" s="1"/>
  <c r="Z133" i="4" s="1"/>
  <c r="AH181" i="4"/>
  <c r="AJ181" i="4" s="1"/>
  <c r="AK181" i="4" s="1"/>
  <c r="AL181" i="4" s="1"/>
  <c r="AH78" i="4"/>
  <c r="AJ78" i="4" s="1"/>
  <c r="AK78" i="4" s="1"/>
  <c r="AL78" i="4" s="1"/>
  <c r="N122" i="4"/>
  <c r="I57" i="6"/>
  <c r="F88" i="6"/>
  <c r="F81" i="6"/>
  <c r="F58" i="6"/>
  <c r="F35" i="6"/>
  <c r="I77" i="6"/>
  <c r="AJ45" i="4"/>
  <c r="AK45" i="4" s="1"/>
  <c r="AL45" i="4" s="1"/>
  <c r="J99" i="4"/>
  <c r="L99" i="4" s="1"/>
  <c r="M99" i="4" s="1"/>
  <c r="N99" i="4" s="1"/>
  <c r="L20" i="4"/>
  <c r="M20" i="4" s="1"/>
  <c r="N20" i="4" s="1"/>
  <c r="AH49" i="4"/>
  <c r="AJ49" i="4" s="1"/>
  <c r="AK49" i="4" s="1"/>
  <c r="AL49" i="4" s="1"/>
  <c r="AH58" i="4"/>
  <c r="AJ58" i="4" s="1"/>
  <c r="AK58" i="4" s="1"/>
  <c r="AL58" i="4" s="1"/>
  <c r="L8" i="5"/>
  <c r="AJ168" i="4"/>
  <c r="AK168" i="4" s="1"/>
  <c r="AL168" i="4" s="1"/>
  <c r="E69" i="6"/>
  <c r="E5" i="6"/>
  <c r="E32" i="6"/>
  <c r="E61" i="6"/>
  <c r="E90" i="6"/>
  <c r="E26" i="6"/>
  <c r="E55" i="6"/>
  <c r="E84" i="6"/>
  <c r="E20" i="6"/>
  <c r="K11" i="5" a="1"/>
  <c r="K11" i="5" s="1"/>
  <c r="E11" i="5"/>
  <c r="H11" i="5" s="1" a="1"/>
  <c r="H11" i="5" s="1"/>
  <c r="J11" i="5" s="1"/>
  <c r="D87" i="6" s="1"/>
  <c r="E87" i="6" s="1"/>
  <c r="X140" i="4"/>
  <c r="Y140" i="4" s="1"/>
  <c r="Z140" i="4" s="1"/>
  <c r="AH150" i="4"/>
  <c r="AJ150" i="4" s="1"/>
  <c r="AK150" i="4" s="1"/>
  <c r="AL150" i="4" s="1"/>
  <c r="E43" i="6"/>
  <c r="E79" i="6"/>
  <c r="V116" i="4"/>
  <c r="X116" i="4" s="1"/>
  <c r="Y116" i="4" s="1"/>
  <c r="Z116" i="4" s="1"/>
  <c r="AH127" i="4"/>
  <c r="AJ127" i="4" s="1"/>
  <c r="AK127" i="4" s="1"/>
  <c r="AL127" i="4" s="1"/>
  <c r="AJ152" i="4"/>
  <c r="AK152" i="4" s="1"/>
  <c r="AL152" i="4" s="1"/>
  <c r="K10" i="5" a="1"/>
  <c r="K10" i="5" s="1"/>
  <c r="L10" i="5" s="1"/>
  <c r="E10" i="5"/>
  <c r="H10" i="5" s="1" a="1"/>
  <c r="H10" i="5" s="1"/>
  <c r="J10" i="5" s="1"/>
  <c r="D30" i="6" s="1"/>
  <c r="E30" i="6" s="1"/>
  <c r="AH87" i="4"/>
  <c r="AJ87" i="4" s="1"/>
  <c r="AK87" i="4" s="1"/>
  <c r="AL87" i="4" s="1"/>
  <c r="F66" i="6"/>
  <c r="F11" i="6"/>
  <c r="F4" i="6"/>
  <c r="F74" i="6"/>
  <c r="F51" i="6"/>
  <c r="F86" i="6"/>
  <c r="F89" i="6"/>
  <c r="X45" i="4"/>
  <c r="Y45" i="4" s="1"/>
  <c r="Z45" i="4" s="1"/>
  <c r="X21" i="4"/>
  <c r="Y21" i="4" s="1"/>
  <c r="Z21" i="4" s="1"/>
  <c r="AH84" i="4"/>
  <c r="AJ84" i="4" s="1"/>
  <c r="AK84" i="4" s="1"/>
  <c r="AL84" i="4" s="1"/>
  <c r="J16" i="4"/>
  <c r="L16" i="4" s="1"/>
  <c r="M16" i="4" s="1"/>
  <c r="N16" i="4" s="1"/>
  <c r="X4" i="4"/>
  <c r="Y4" i="4" s="1"/>
  <c r="Z4" i="4" s="1"/>
  <c r="AH128" i="4"/>
  <c r="AJ128" i="4" s="1"/>
  <c r="AK128" i="4" s="1"/>
  <c r="AL128" i="4" s="1"/>
  <c r="L107" i="4"/>
  <c r="M107" i="4" s="1"/>
  <c r="N107" i="4" s="1"/>
  <c r="F82" i="6"/>
  <c r="F59" i="6"/>
  <c r="F52" i="6"/>
  <c r="F29" i="6"/>
  <c r="F6" i="6"/>
  <c r="F9" i="6"/>
  <c r="F44" i="6"/>
  <c r="V95" i="4"/>
  <c r="X95" i="4" s="1"/>
  <c r="Y95" i="4" s="1"/>
  <c r="Z95" i="4" s="1"/>
  <c r="AJ41" i="4"/>
  <c r="AK41" i="4" s="1"/>
  <c r="AL41" i="4" s="1"/>
  <c r="X25" i="4"/>
  <c r="Y25" i="4" s="1"/>
  <c r="Z25" i="4" s="1"/>
  <c r="L3" i="5"/>
  <c r="K2" i="6" l="1"/>
  <c r="H2" i="6"/>
  <c r="E88" i="6"/>
  <c r="J30" i="6"/>
  <c r="J92" i="6"/>
  <c r="J88" i="6"/>
  <c r="J87" i="6"/>
  <c r="J91" i="6"/>
  <c r="F32" i="6"/>
  <c r="L13" i="5"/>
  <c r="J90" i="6"/>
  <c r="J89" i="6"/>
  <c r="L11" i="5"/>
  <c r="F93" i="6" s="1"/>
  <c r="J31" i="6"/>
  <c r="L12" i="5"/>
  <c r="B3" i="6" l="1"/>
  <c r="G3" i="6" s="1"/>
  <c r="L2" i="6"/>
  <c r="H3" i="6" l="1"/>
  <c r="K3" i="6"/>
  <c r="B4" i="6" l="1"/>
  <c r="G4" i="6" s="1"/>
  <c r="L3" i="6"/>
  <c r="H4" i="6" l="1"/>
  <c r="K4" i="6" l="1"/>
  <c r="B5" i="6" l="1"/>
  <c r="G5" i="6" s="1"/>
  <c r="L4" i="6"/>
  <c r="H5" i="6" l="1"/>
  <c r="K5" i="6" s="1"/>
  <c r="B6" i="6" l="1"/>
  <c r="G6" i="6" s="1"/>
  <c r="L5" i="6"/>
  <c r="H6" i="6" l="1"/>
  <c r="K6" i="6"/>
  <c r="B7" i="6" l="1"/>
  <c r="G7" i="6" s="1"/>
  <c r="L6" i="6"/>
  <c r="H7" i="6" l="1"/>
  <c r="K7" i="6" s="1"/>
  <c r="B8" i="6" l="1"/>
  <c r="G8" i="6" s="1"/>
  <c r="L7" i="6"/>
  <c r="H8" i="6" l="1"/>
  <c r="K8" i="6" s="1"/>
  <c r="B9" i="6" l="1"/>
  <c r="G9" i="6" s="1"/>
  <c r="L8" i="6"/>
  <c r="H9" i="6" l="1"/>
  <c r="K9" i="6"/>
  <c r="B10" i="6" l="1"/>
  <c r="G10" i="6" s="1"/>
  <c r="L9" i="6"/>
  <c r="H10" i="6" l="1"/>
  <c r="K10" i="6" s="1"/>
  <c r="B11" i="6" l="1"/>
  <c r="G11" i="6" s="1"/>
  <c r="L10" i="6"/>
  <c r="H11" i="6" l="1"/>
  <c r="K11" i="6" s="1"/>
  <c r="B12" i="6" l="1"/>
  <c r="G12" i="6" s="1"/>
  <c r="L11" i="6"/>
  <c r="H12" i="6" l="1"/>
  <c r="K12" i="6" s="1"/>
  <c r="B13" i="6" l="1"/>
  <c r="G13" i="6" s="1"/>
  <c r="L12" i="6"/>
  <c r="H13" i="6" l="1"/>
  <c r="K13" i="6" s="1"/>
  <c r="L13" i="6" l="1"/>
  <c r="B14" i="6"/>
  <c r="G14" i="6" s="1"/>
  <c r="H14" i="6" l="1"/>
  <c r="K14" i="6" s="1"/>
  <c r="B15" i="6" l="1"/>
  <c r="G15" i="6" s="1"/>
  <c r="L14" i="6"/>
  <c r="H15" i="6" l="1"/>
  <c r="K15" i="6" s="1"/>
  <c r="B16" i="6" l="1"/>
  <c r="G16" i="6" s="1"/>
  <c r="L15" i="6"/>
  <c r="H16" i="6" l="1"/>
  <c r="K16" i="6" s="1"/>
  <c r="B17" i="6" l="1"/>
  <c r="G17" i="6" s="1"/>
  <c r="L16" i="6"/>
  <c r="H17" i="6" l="1"/>
  <c r="K17" i="6" s="1"/>
  <c r="B18" i="6" l="1"/>
  <c r="G18" i="6" s="1"/>
  <c r="L17" i="6"/>
  <c r="H18" i="6" l="1"/>
  <c r="K18" i="6" s="1"/>
  <c r="B19" i="6" l="1"/>
  <c r="G19" i="6" s="1"/>
  <c r="L18" i="6"/>
  <c r="H19" i="6" l="1"/>
  <c r="K19" i="6"/>
  <c r="B20" i="6" l="1"/>
  <c r="G20" i="6" s="1"/>
  <c r="L19" i="6"/>
  <c r="H20" i="6" l="1"/>
  <c r="K20" i="6" s="1"/>
  <c r="B21" i="6" l="1"/>
  <c r="G21" i="6" s="1"/>
  <c r="L20" i="6"/>
  <c r="H21" i="6" l="1"/>
  <c r="K21" i="6" s="1"/>
  <c r="B22" i="6" l="1"/>
  <c r="G22" i="6" s="1"/>
  <c r="L21" i="6"/>
  <c r="H22" i="6" l="1"/>
  <c r="K22" i="6"/>
  <c r="B23" i="6" l="1"/>
  <c r="G23" i="6" s="1"/>
  <c r="L22" i="6"/>
  <c r="H23" i="6" l="1"/>
  <c r="K23" i="6" s="1"/>
  <c r="B24" i="6" l="1"/>
  <c r="G24" i="6" s="1"/>
  <c r="L23" i="6"/>
  <c r="H24" i="6" l="1"/>
  <c r="K24" i="6" s="1"/>
  <c r="B25" i="6" l="1"/>
  <c r="G25" i="6" s="1"/>
  <c r="L24" i="6"/>
  <c r="H25" i="6" l="1"/>
  <c r="K25" i="6"/>
  <c r="B26" i="6" l="1"/>
  <c r="G26" i="6" s="1"/>
  <c r="L25" i="6"/>
  <c r="H26" i="6" l="1"/>
  <c r="K26" i="6" s="1"/>
  <c r="B27" i="6" l="1"/>
  <c r="G27" i="6" s="1"/>
  <c r="L26" i="6"/>
  <c r="H27" i="6" l="1"/>
  <c r="K27" i="6" s="1"/>
  <c r="B28" i="6" l="1"/>
  <c r="G28" i="6" s="1"/>
  <c r="L27" i="6"/>
  <c r="H28" i="6" l="1"/>
  <c r="K28" i="6" s="1"/>
  <c r="B29" i="6" l="1"/>
  <c r="G29" i="6" s="1"/>
  <c r="L28" i="6"/>
  <c r="H29" i="6" l="1"/>
  <c r="K29" i="6" s="1"/>
  <c r="L29" i="6" l="1"/>
  <c r="B30" i="6"/>
  <c r="G30" i="6" s="1"/>
  <c r="H30" i="6" l="1"/>
  <c r="K30" i="6" s="1"/>
  <c r="B31" i="6" l="1"/>
  <c r="G31" i="6" s="1"/>
  <c r="L30" i="6"/>
  <c r="H31" i="6" l="1"/>
  <c r="K31" i="6" s="1"/>
  <c r="B32" i="6" l="1"/>
  <c r="G32" i="6" s="1"/>
  <c r="L31" i="6"/>
  <c r="H32" i="6" l="1"/>
  <c r="K32" i="6" s="1"/>
  <c r="B33" i="6" l="1"/>
  <c r="G33" i="6" s="1"/>
  <c r="L32" i="6"/>
  <c r="H33" i="6" l="1"/>
  <c r="K33" i="6" s="1"/>
  <c r="B34" i="6" l="1"/>
  <c r="G34" i="6" s="1"/>
  <c r="L33" i="6"/>
  <c r="H34" i="6" l="1"/>
  <c r="K34" i="6" s="1"/>
  <c r="B35" i="6" l="1"/>
  <c r="G35" i="6" s="1"/>
  <c r="L34" i="6"/>
  <c r="H35" i="6" l="1"/>
  <c r="K35" i="6"/>
  <c r="B36" i="6" l="1"/>
  <c r="G36" i="6" s="1"/>
  <c r="L35" i="6"/>
  <c r="H36" i="6" l="1"/>
  <c r="K36" i="6" s="1"/>
  <c r="B37" i="6" l="1"/>
  <c r="G37" i="6" s="1"/>
  <c r="L36" i="6"/>
  <c r="H37" i="6" l="1"/>
  <c r="K37" i="6" s="1"/>
  <c r="B38" i="6" l="1"/>
  <c r="G38" i="6" s="1"/>
  <c r="L37" i="6"/>
  <c r="H38" i="6" l="1"/>
  <c r="K38" i="6"/>
  <c r="B39" i="6" l="1"/>
  <c r="G39" i="6" s="1"/>
  <c r="L38" i="6"/>
  <c r="H39" i="6" l="1"/>
  <c r="K39" i="6" s="1"/>
  <c r="B40" i="6" l="1"/>
  <c r="G40" i="6" s="1"/>
  <c r="L39" i="6"/>
  <c r="H40" i="6" l="1"/>
  <c r="K40" i="6" s="1"/>
  <c r="B41" i="6" l="1"/>
  <c r="G41" i="6" s="1"/>
  <c r="L40" i="6"/>
  <c r="H41" i="6" l="1"/>
  <c r="K41" i="6"/>
  <c r="B42" i="6" l="1"/>
  <c r="G42" i="6" s="1"/>
  <c r="L41" i="6"/>
  <c r="H42" i="6" l="1"/>
  <c r="K42" i="6" s="1"/>
  <c r="B43" i="6" l="1"/>
  <c r="G43" i="6" s="1"/>
  <c r="L42" i="6"/>
  <c r="H43" i="6" l="1"/>
  <c r="K43" i="6" s="1"/>
  <c r="B44" i="6" l="1"/>
  <c r="G44" i="6" s="1"/>
  <c r="L43" i="6"/>
  <c r="H44" i="6" l="1"/>
  <c r="K44" i="6" s="1"/>
  <c r="B45" i="6" l="1"/>
  <c r="G45" i="6" s="1"/>
  <c r="L44" i="6"/>
  <c r="H45" i="6" l="1"/>
  <c r="K45" i="6" s="1"/>
  <c r="L45" i="6" l="1"/>
  <c r="B46" i="6"/>
  <c r="G46" i="6" s="1"/>
  <c r="H46" i="6" l="1"/>
  <c r="K46" i="6" s="1"/>
  <c r="B47" i="6" l="1"/>
  <c r="G47" i="6" s="1"/>
  <c r="L46" i="6"/>
  <c r="H47" i="6" l="1"/>
  <c r="K47" i="6" s="1"/>
  <c r="B48" i="6" l="1"/>
  <c r="G48" i="6" s="1"/>
  <c r="L47" i="6"/>
  <c r="H48" i="6" l="1"/>
  <c r="K48" i="6" s="1"/>
  <c r="B49" i="6" l="1"/>
  <c r="G49" i="6" s="1"/>
  <c r="L48" i="6"/>
  <c r="H49" i="6" l="1"/>
  <c r="K49" i="6" s="1"/>
  <c r="B50" i="6" l="1"/>
  <c r="G50" i="6" s="1"/>
  <c r="L49" i="6"/>
  <c r="H50" i="6" l="1"/>
  <c r="K50" i="6" s="1"/>
  <c r="B51" i="6" l="1"/>
  <c r="G51" i="6" s="1"/>
  <c r="L50" i="6"/>
  <c r="H51" i="6" l="1"/>
  <c r="K51" i="6"/>
  <c r="B52" i="6" l="1"/>
  <c r="G52" i="6" s="1"/>
  <c r="L51" i="6"/>
  <c r="H52" i="6" l="1"/>
  <c r="K52" i="6" s="1"/>
  <c r="B53" i="6" l="1"/>
  <c r="G53" i="6" s="1"/>
  <c r="L52" i="6"/>
  <c r="H53" i="6" l="1"/>
  <c r="K53" i="6" s="1"/>
  <c r="B54" i="6" l="1"/>
  <c r="G54" i="6" s="1"/>
  <c r="L53" i="6"/>
  <c r="H54" i="6" l="1"/>
  <c r="K54" i="6"/>
  <c r="B55" i="6" l="1"/>
  <c r="G55" i="6" s="1"/>
  <c r="L54" i="6"/>
  <c r="H55" i="6" l="1"/>
  <c r="K55" i="6" s="1"/>
  <c r="B56" i="6" l="1"/>
  <c r="G56" i="6" s="1"/>
  <c r="L55" i="6"/>
  <c r="H56" i="6" l="1"/>
  <c r="K56" i="6" s="1"/>
  <c r="B57" i="6" l="1"/>
  <c r="G57" i="6" s="1"/>
  <c r="L56" i="6"/>
  <c r="H57" i="6" l="1"/>
  <c r="K57" i="6"/>
  <c r="B58" i="6" l="1"/>
  <c r="G58" i="6" s="1"/>
  <c r="L57" i="6"/>
  <c r="H58" i="6" l="1"/>
  <c r="K58" i="6" s="1"/>
  <c r="B59" i="6" l="1"/>
  <c r="G59" i="6" s="1"/>
  <c r="L58" i="6"/>
  <c r="H59" i="6" l="1"/>
  <c r="K59" i="6" s="1"/>
  <c r="B60" i="6" l="1"/>
  <c r="G60" i="6" s="1"/>
  <c r="L59" i="6"/>
  <c r="H60" i="6" l="1"/>
  <c r="K60" i="6" s="1"/>
  <c r="B61" i="6" l="1"/>
  <c r="G61" i="6" s="1"/>
  <c r="L60" i="6"/>
  <c r="H61" i="6" l="1"/>
  <c r="K61" i="6" s="1"/>
  <c r="L61" i="6" l="1"/>
  <c r="B62" i="6"/>
  <c r="G62" i="6" s="1"/>
  <c r="H62" i="6" l="1"/>
  <c r="K62" i="6" s="1"/>
  <c r="B63" i="6" l="1"/>
  <c r="G63" i="6" s="1"/>
  <c r="L62" i="6"/>
  <c r="H63" i="6" l="1"/>
  <c r="K63" i="6" s="1"/>
  <c r="B64" i="6" l="1"/>
  <c r="G64" i="6" s="1"/>
  <c r="L63" i="6"/>
  <c r="H64" i="6" l="1"/>
  <c r="K64" i="6" s="1"/>
  <c r="B65" i="6" l="1"/>
  <c r="G65" i="6" s="1"/>
  <c r="L64" i="6"/>
  <c r="H65" i="6" l="1"/>
  <c r="K65" i="6" s="1"/>
  <c r="B66" i="6" l="1"/>
  <c r="G66" i="6" s="1"/>
  <c r="L65" i="6"/>
  <c r="H66" i="6" l="1"/>
  <c r="K66" i="6" s="1"/>
  <c r="B67" i="6" l="1"/>
  <c r="G67" i="6" s="1"/>
  <c r="L66" i="6"/>
  <c r="H67" i="6" l="1"/>
  <c r="K67" i="6"/>
  <c r="B68" i="6" l="1"/>
  <c r="G68" i="6" s="1"/>
  <c r="L67" i="6"/>
  <c r="H68" i="6" l="1"/>
  <c r="K68" i="6" s="1"/>
  <c r="B69" i="6" l="1"/>
  <c r="G69" i="6" s="1"/>
  <c r="L68" i="6"/>
  <c r="H69" i="6" l="1"/>
  <c r="K69" i="6" s="1"/>
  <c r="B70" i="6" l="1"/>
  <c r="G70" i="6" s="1"/>
  <c r="L69" i="6"/>
  <c r="H70" i="6" l="1"/>
  <c r="K70" i="6"/>
  <c r="B71" i="6" l="1"/>
  <c r="G71" i="6" s="1"/>
  <c r="L70" i="6"/>
  <c r="H71" i="6" l="1"/>
  <c r="K71" i="6" s="1"/>
  <c r="B72" i="6" l="1"/>
  <c r="G72" i="6" s="1"/>
  <c r="L71" i="6"/>
  <c r="H72" i="6" l="1"/>
  <c r="K72" i="6" s="1"/>
  <c r="B73" i="6" l="1"/>
  <c r="G73" i="6" s="1"/>
  <c r="L72" i="6"/>
  <c r="H73" i="6" l="1"/>
  <c r="K73" i="6"/>
  <c r="B74" i="6" l="1"/>
  <c r="G74" i="6" s="1"/>
  <c r="L73" i="6"/>
  <c r="H74" i="6" l="1"/>
  <c r="K74" i="6" s="1"/>
  <c r="B75" i="6" l="1"/>
  <c r="G75" i="6" s="1"/>
  <c r="L74" i="6"/>
  <c r="H75" i="6" l="1"/>
  <c r="K75" i="6" s="1"/>
  <c r="B76" i="6" l="1"/>
  <c r="G76" i="6" s="1"/>
  <c r="L75" i="6"/>
  <c r="H76" i="6" l="1"/>
  <c r="K76" i="6" s="1"/>
  <c r="B77" i="6" l="1"/>
  <c r="G77" i="6" s="1"/>
  <c r="L76" i="6"/>
  <c r="H77" i="6" l="1"/>
  <c r="K77" i="6" s="1"/>
  <c r="L77" i="6" l="1"/>
  <c r="B78" i="6"/>
  <c r="G78" i="6" s="1"/>
  <c r="H78" i="6" l="1"/>
  <c r="K78" i="6" s="1"/>
  <c r="B79" i="6" l="1"/>
  <c r="G79" i="6" s="1"/>
  <c r="L78" i="6"/>
  <c r="H79" i="6" l="1"/>
  <c r="K79" i="6" s="1"/>
  <c r="B80" i="6" l="1"/>
  <c r="G80" i="6" s="1"/>
  <c r="L79" i="6"/>
  <c r="H80" i="6" l="1"/>
  <c r="K80" i="6" s="1"/>
  <c r="B81" i="6" l="1"/>
  <c r="G81" i="6" s="1"/>
  <c r="L80" i="6"/>
  <c r="H81" i="6" l="1"/>
  <c r="K81" i="6" s="1"/>
  <c r="B82" i="6" l="1"/>
  <c r="G82" i="6" s="1"/>
  <c r="L81" i="6"/>
  <c r="H82" i="6" l="1"/>
  <c r="K82" i="6" s="1"/>
  <c r="B83" i="6" l="1"/>
  <c r="G83" i="6" s="1"/>
  <c r="L82" i="6"/>
  <c r="H83" i="6" l="1"/>
  <c r="K83" i="6"/>
  <c r="B84" i="6" l="1"/>
  <c r="G84" i="6" s="1"/>
  <c r="L83" i="6"/>
  <c r="H84" i="6" l="1"/>
  <c r="K84" i="6" s="1"/>
  <c r="B85" i="6" l="1"/>
  <c r="G85" i="6" s="1"/>
  <c r="L84" i="6"/>
  <c r="H85" i="6" l="1"/>
  <c r="K85" i="6" s="1"/>
  <c r="B86" i="6" l="1"/>
  <c r="G86" i="6" s="1"/>
  <c r="L85" i="6"/>
  <c r="H86" i="6" l="1"/>
  <c r="K86" i="6"/>
  <c r="B87" i="6" l="1"/>
  <c r="G87" i="6" s="1"/>
  <c r="L86" i="6"/>
  <c r="H87" i="6" l="1"/>
  <c r="K87" i="6" s="1"/>
  <c r="B88" i="6" l="1"/>
  <c r="G88" i="6" s="1"/>
  <c r="L87" i="6"/>
  <c r="H88" i="6" l="1"/>
  <c r="K88" i="6" s="1"/>
  <c r="B89" i="6" l="1"/>
  <c r="G89" i="6" s="1"/>
  <c r="L88" i="6"/>
  <c r="H89" i="6" l="1"/>
  <c r="K89" i="6"/>
  <c r="B90" i="6" l="1"/>
  <c r="G90" i="6" s="1"/>
  <c r="L89" i="6"/>
  <c r="H90" i="6" l="1"/>
  <c r="K90" i="6" s="1"/>
  <c r="B91" i="6" l="1"/>
  <c r="G91" i="6" s="1"/>
  <c r="L90" i="6"/>
  <c r="H91" i="6" l="1"/>
  <c r="K91" i="6" s="1"/>
  <c r="B92" i="6" l="1"/>
  <c r="G92" i="6" s="1"/>
  <c r="L91" i="6"/>
  <c r="H92" i="6" l="1"/>
  <c r="K92" i="6" s="1"/>
  <c r="B93" i="6" l="1"/>
  <c r="G93" i="6" s="1"/>
  <c r="L92" i="6"/>
  <c r="H93" i="6" l="1"/>
  <c r="B45" i="2" s="1"/>
  <c r="K93" i="6" l="1"/>
  <c r="L93" i="6" s="1"/>
  <c r="B4" i="2" s="1"/>
  <c r="B5" i="2" s="1"/>
  <c r="B46" i="2" l="1"/>
  <c r="B12" i="2"/>
  <c r="B13" i="2" s="1"/>
  <c r="B19" i="2" s="1"/>
</calcChain>
</file>

<file path=xl/sharedStrings.xml><?xml version="1.0" encoding="utf-8"?>
<sst xmlns="http://schemas.openxmlformats.org/spreadsheetml/2006/main" count="1611" uniqueCount="647">
  <si>
    <t>Fund Performance Overview</t>
  </si>
  <si>
    <t>Initial Capital</t>
  </si>
  <si>
    <t>Final Portfolio Value (30-Sep-2025)</t>
  </si>
  <si>
    <t>Total P&amp;L</t>
  </si>
  <si>
    <t>Risk Free Rate (Annual)</t>
  </si>
  <si>
    <t>Risk Free Rate (Daily)</t>
  </si>
  <si>
    <t>Start Date</t>
  </si>
  <si>
    <t>End Date</t>
  </si>
  <si>
    <t>Project Days</t>
  </si>
  <si>
    <t>Total Return (92 Days)</t>
  </si>
  <si>
    <t>Annualized Return</t>
  </si>
  <si>
    <t>Benchmark Comparison</t>
  </si>
  <si>
    <t>Risk-Free Benchmark (Annual)</t>
  </si>
  <si>
    <t>Benchmark Return (92 Days)</t>
  </si>
  <si>
    <t>Outperformance (Alpha)</t>
  </si>
  <si>
    <t>Strategy Rules</t>
  </si>
  <si>
    <t>Minimum Annualized Spread (Net)</t>
  </si>
  <si>
    <t>Allocation per Trade (% of Cash)</t>
  </si>
  <si>
    <t>Max Allocation (% of Fund)</t>
  </si>
  <si>
    <t>Spot T-Cost</t>
  </si>
  <si>
    <t>Futures T-Cost</t>
  </si>
  <si>
    <t>Initial Margin (%)</t>
  </si>
  <si>
    <t>Cost of Carry (%)</t>
  </si>
  <si>
    <t>Asset Details</t>
  </si>
  <si>
    <t>Asset</t>
  </si>
  <si>
    <t>Lot Size</t>
  </si>
  <si>
    <t>RELIANCE</t>
  </si>
  <si>
    <t>ADANI</t>
  </si>
  <si>
    <t>Contract</t>
  </si>
  <si>
    <t>Expiry_Date</t>
  </si>
  <si>
    <t>JUL</t>
  </si>
  <si>
    <t>AUG</t>
  </si>
  <si>
    <t>SEP</t>
  </si>
  <si>
    <t>Trade Statistics</t>
  </si>
  <si>
    <t>Total Arbitrage Trades Executed</t>
  </si>
  <si>
    <t>Total Interest from Money Market</t>
  </si>
  <si>
    <t>Total P&amp;L from Arbitrage Trades</t>
  </si>
  <si>
    <t>Fund Details</t>
  </si>
  <si>
    <t>Contract Details</t>
  </si>
  <si>
    <t>Date</t>
  </si>
  <si>
    <t>Stock</t>
  </si>
  <si>
    <t>Spot_Price</t>
  </si>
  <si>
    <t>July_Futures_Price</t>
  </si>
  <si>
    <t>July_Expiry_Date</t>
  </si>
  <si>
    <t>Date To Expiry</t>
  </si>
  <si>
    <t>Fair Value</t>
  </si>
  <si>
    <t>Gross Spread</t>
  </si>
  <si>
    <t>Total_T-costs</t>
  </si>
  <si>
    <t>Net Profit</t>
  </si>
  <si>
    <t>Capital Blocked</t>
  </si>
  <si>
    <t>Net Return (%)</t>
  </si>
  <si>
    <t>Annualized_Return (%)</t>
  </si>
  <si>
    <t>TRADE_SIGNAL</t>
  </si>
  <si>
    <t>August_Futures_Price</t>
  </si>
  <si>
    <t>August_Expiry_Date</t>
  </si>
  <si>
    <t>September_Futures_Price</t>
  </si>
  <si>
    <t>September_Expiry_Date</t>
  </si>
  <si>
    <t>Trade ID</t>
  </si>
  <si>
    <t>Entry_Date</t>
  </si>
  <si>
    <t>Exit_Date</t>
  </si>
  <si>
    <t>Lots</t>
  </si>
  <si>
    <t>Entry_Spot_Price</t>
  </si>
  <si>
    <t>Entry_Futures_Price</t>
  </si>
  <si>
    <t>Spot_Cost (Total cost of buying spot inventory)</t>
  </si>
  <si>
    <t>Margin Blocked</t>
  </si>
  <si>
    <t>Exit_Spot_Price</t>
  </si>
  <si>
    <t>Settlement_Value</t>
  </si>
  <si>
    <t>Opening_Cash</t>
  </si>
  <si>
    <t>New Spot Outflow</t>
  </si>
  <si>
    <t>New Margin Outflow</t>
  </si>
  <si>
    <t>New Trade Outflow</t>
  </si>
  <si>
    <t>Closed Trade Inflow</t>
  </si>
  <si>
    <t>Uninvested_Cash</t>
  </si>
  <si>
    <t>Interest_Earned</t>
  </si>
  <si>
    <t>Total_Spot_Inventory_Cost</t>
  </si>
  <si>
    <t>Total_Margin_Blocked</t>
  </si>
  <si>
    <t>Closing_Cash</t>
  </si>
  <si>
    <t>Total_Fund_Value</t>
  </si>
  <si>
    <t xml:space="preserve">Date </t>
  </si>
  <si>
    <t xml:space="preserve">series </t>
  </si>
  <si>
    <t xml:space="preserve">OPEN </t>
  </si>
  <si>
    <t xml:space="preserve">HIGH </t>
  </si>
  <si>
    <t xml:space="preserve">LOW </t>
  </si>
  <si>
    <t xml:space="preserve">PREV. CLOSE </t>
  </si>
  <si>
    <t xml:space="preserve">ltp </t>
  </si>
  <si>
    <t xml:space="preserve">close </t>
  </si>
  <si>
    <t xml:space="preserve">vwap </t>
  </si>
  <si>
    <t xml:space="preserve">52W H </t>
  </si>
  <si>
    <t xml:space="preserve">52W L </t>
  </si>
  <si>
    <t xml:space="preserve">VOLUME </t>
  </si>
  <si>
    <t xml:space="preserve">VALUE </t>
  </si>
  <si>
    <t xml:space="preserve">No of trades </t>
  </si>
  <si>
    <t xml:space="preserve">DATE </t>
  </si>
  <si>
    <t xml:space="preserve">EXPIRY DATE </t>
  </si>
  <si>
    <t xml:space="preserve">OPEN PRICE </t>
  </si>
  <si>
    <t xml:space="preserve">HIGH PRICE </t>
  </si>
  <si>
    <t xml:space="preserve">LOW PRICE </t>
  </si>
  <si>
    <t xml:space="preserve">CLOSE PRICE </t>
  </si>
  <si>
    <t xml:space="preserve">LAST PRICE </t>
  </si>
  <si>
    <t xml:space="preserve">SETTLE PRICE </t>
  </si>
  <si>
    <t xml:space="preserve">Volume </t>
  </si>
  <si>
    <t xml:space="preserve">PREMIUM VALUE </t>
  </si>
  <si>
    <t xml:space="preserve">OPEN INTEREST </t>
  </si>
  <si>
    <t xml:space="preserve">CHANGE IN OI </t>
  </si>
  <si>
    <t xml:space="preserve">OPTION TYPE </t>
  </si>
  <si>
    <t xml:space="preserve">STRIKE PRICE </t>
  </si>
  <si>
    <t>EQ</t>
  </si>
  <si>
    <t>XX</t>
  </si>
  <si>
    <t>-</t>
  </si>
  <si>
    <t>series</t>
  </si>
  <si>
    <t>OPEN</t>
  </si>
  <si>
    <t>HIGH</t>
  </si>
  <si>
    <t>LOW</t>
  </si>
  <si>
    <t>PREV. CLOSE</t>
  </si>
  <si>
    <t>ltp</t>
  </si>
  <si>
    <t>close</t>
  </si>
  <si>
    <t>vwap</t>
  </si>
  <si>
    <t>52W H</t>
  </si>
  <si>
    <t>52W L</t>
  </si>
  <si>
    <t>VOLUME</t>
  </si>
  <si>
    <t>VALUE</t>
  </si>
  <si>
    <t>No of trades</t>
  </si>
  <si>
    <t>DATE</t>
  </si>
  <si>
    <t>EXPIRY DATE</t>
  </si>
  <si>
    <t>OPEN PRICE</t>
  </si>
  <si>
    <t>HIGH PRICE</t>
  </si>
  <si>
    <t>LOW PRICE</t>
  </si>
  <si>
    <t>CLOSE PRICE</t>
  </si>
  <si>
    <t>LAST PRICE</t>
  </si>
  <si>
    <t>SETTLE PRICE</t>
  </si>
  <si>
    <t>Volume</t>
  </si>
  <si>
    <t>PREMIUM VALUE</t>
  </si>
  <si>
    <t>OPEN INTEREST</t>
  </si>
  <si>
    <t>CHANGE IN OI</t>
  </si>
  <si>
    <t>OPTION TYPE</t>
  </si>
  <si>
    <t>STRIKE PRICE</t>
  </si>
  <si>
    <t>7,12,592</t>
  </si>
  <si>
    <t>1,79,07,19,447.80</t>
  </si>
  <si>
    <t>37,73,700</t>
  </si>
  <si>
    <t>9,35,54,00,490.00</t>
  </si>
  <si>
    <t>11,76,000</t>
  </si>
  <si>
    <t>-21,11,100</t>
  </si>
  <si>
    <t>46,85,700</t>
  </si>
  <si>
    <t>10,74,47,37,030.00</t>
  </si>
  <si>
    <t>10,80,000</t>
  </si>
  <si>
    <t>-28,74,300</t>
  </si>
  <si>
    <t>33,96,300</t>
  </si>
  <si>
    <t>8,52,98,84,760.00</t>
  </si>
  <si>
    <t>11,13,600</t>
  </si>
  <si>
    <t>-17,35,800</t>
  </si>
  <si>
    <t>10,12,402</t>
  </si>
  <si>
    <t>2,55,95,63,054.80</t>
  </si>
  <si>
    <t>44,52,000</t>
  </si>
  <si>
    <t>11,31,28,89,270.00</t>
  </si>
  <si>
    <t>32,87,100</t>
  </si>
  <si>
    <t>-39,48,900</t>
  </si>
  <si>
    <t>50,49,300</t>
  </si>
  <si>
    <t>11,46,76,99,440.00</t>
  </si>
  <si>
    <t>39,54,300</t>
  </si>
  <si>
    <t>-37,42,800</t>
  </si>
  <si>
    <t>30,32,100</t>
  </si>
  <si>
    <t>7,69,89,22,530.00</t>
  </si>
  <si>
    <t>28,49,400</t>
  </si>
  <si>
    <t>-17,29,200</t>
  </si>
  <si>
    <t>10,37,808</t>
  </si>
  <si>
    <t>2,66,80,58,103.20</t>
  </si>
  <si>
    <t>58,39,500</t>
  </si>
  <si>
    <t>14,78,57,36,490.00</t>
  </si>
  <si>
    <t>72,36,000</t>
  </si>
  <si>
    <t>-46,37,400</t>
  </si>
  <si>
    <t>49,32,600</t>
  </si>
  <si>
    <t>11,44,50,27,330.00</t>
  </si>
  <si>
    <t>76,97,100</t>
  </si>
  <si>
    <t>-35,37,600</t>
  </si>
  <si>
    <t>46,14,300</t>
  </si>
  <si>
    <t>11,86,72,46,040.00</t>
  </si>
  <si>
    <t>45,78,600</t>
  </si>
  <si>
    <t>-33,21,600</t>
  </si>
  <si>
    <t>14,89,682</t>
  </si>
  <si>
    <t>3,88,55,60,965.20</t>
  </si>
  <si>
    <t>45,32,100</t>
  </si>
  <si>
    <t>11,56,74,66,720.00</t>
  </si>
  <si>
    <t>1,18,73,400</t>
  </si>
  <si>
    <t>-30,97,200</t>
  </si>
  <si>
    <t>55,00,800</t>
  </si>
  <si>
    <t>12,85,41,85,890.00</t>
  </si>
  <si>
    <t>1,12,34,700</t>
  </si>
  <si>
    <t>-37,97,700</t>
  </si>
  <si>
    <t>49,46,100</t>
  </si>
  <si>
    <t>12,97,83,63,270.00</t>
  </si>
  <si>
    <t>79,00,200</t>
  </si>
  <si>
    <t>-33,14,100</t>
  </si>
  <si>
    <t>17,20,785</t>
  </si>
  <si>
    <t>4,55,64,38,133.60</t>
  </si>
  <si>
    <t>30,74,100</t>
  </si>
  <si>
    <t>7,88,12,44,860.00</t>
  </si>
  <si>
    <t>1,49,70,600</t>
  </si>
  <si>
    <t>-17,88,000</t>
  </si>
  <si>
    <t>17,97,600</t>
  </si>
  <si>
    <t>4,28,57,37,240.00</t>
  </si>
  <si>
    <t>1,50,32,400</t>
  </si>
  <si>
    <t>-7,62,300</t>
  </si>
  <si>
    <t>24,45,300</t>
  </si>
  <si>
    <t>6,49,02,28,680.00</t>
  </si>
  <si>
    <t>1,12,14,300</t>
  </si>
  <si>
    <t>-4,35,300</t>
  </si>
  <si>
    <t>56,10,022</t>
  </si>
  <si>
    <t>14,95,51,50,460.50</t>
  </si>
  <si>
    <t>1,67,336</t>
  </si>
  <si>
    <t>12,67,800</t>
  </si>
  <si>
    <t>3,31,31,09,880.00</t>
  </si>
  <si>
    <t>1,67,58,600</t>
  </si>
  <si>
    <t>-4,23,300</t>
  </si>
  <si>
    <t>20,31,000</t>
  </si>
  <si>
    <t>4,85,54,27,520.00</t>
  </si>
  <si>
    <t>1,57,94,700</t>
  </si>
  <si>
    <t>-4,06,800</t>
  </si>
  <si>
    <t>61,33,800</t>
  </si>
  <si>
    <t>16,33,78,89,840.00</t>
  </si>
  <si>
    <t>1,16,49,600</t>
  </si>
  <si>
    <t>-13,01,700</t>
  </si>
  <si>
    <t>70,22,985</t>
  </si>
  <si>
    <t>18,36,85,42,067.50</t>
  </si>
  <si>
    <t>2,00,598</t>
  </si>
  <si>
    <t>10,22,400</t>
  </si>
  <si>
    <t>2,67,89,84,520.00</t>
  </si>
  <si>
    <t>1,71,81,900</t>
  </si>
  <si>
    <t>-1,68,600</t>
  </si>
  <si>
    <t>24,45,000</t>
  </si>
  <si>
    <t>5,79,55,23,450.00</t>
  </si>
  <si>
    <t>1,62,01,500</t>
  </si>
  <si>
    <t>-5,29,200</t>
  </si>
  <si>
    <t>76,47,300</t>
  </si>
  <si>
    <t>20,02,56,29,760.00</t>
  </si>
  <si>
    <t>1,29,51,300</t>
  </si>
  <si>
    <t>-15,78,300</t>
  </si>
  <si>
    <t>79,65,135</t>
  </si>
  <si>
    <t>20,07,22,48,387.70</t>
  </si>
  <si>
    <t>2,38,677</t>
  </si>
  <si>
    <t>9,60,600</t>
  </si>
  <si>
    <t>2,50,51,97,940.00</t>
  </si>
  <si>
    <t>1,73,50,500</t>
  </si>
  <si>
    <t>24,21,600</t>
  </si>
  <si>
    <t>5,66,57,56,710.00</t>
  </si>
  <si>
    <t>1,67,30,700</t>
  </si>
  <si>
    <t>-2,76,000</t>
  </si>
  <si>
    <t>1,24,22,700</t>
  </si>
  <si>
    <t>31,37,77,09,350.00</t>
  </si>
  <si>
    <t>1,45,29,600</t>
  </si>
  <si>
    <t>7,03,730</t>
  </si>
  <si>
    <t>1,69,56,70,672.20</t>
  </si>
  <si>
    <t>11,12,100</t>
  </si>
  <si>
    <t>2,91,45,84,900.00</t>
  </si>
  <si>
    <t>1,73,93,100</t>
  </si>
  <si>
    <t>-2,54,700</t>
  </si>
  <si>
    <t>15,04,200</t>
  </si>
  <si>
    <t>3,44,17,50,330.00</t>
  </si>
  <si>
    <t>1,70,06,700</t>
  </si>
  <si>
    <t>-1,68,000</t>
  </si>
  <si>
    <t>24,23,100</t>
  </si>
  <si>
    <t>5,87,50,00,710.00</t>
  </si>
  <si>
    <t>1,45,94,100</t>
  </si>
  <si>
    <t>1,11,900</t>
  </si>
  <si>
    <t>5,14,354</t>
  </si>
  <si>
    <t>1,23,57,34,218.70</t>
  </si>
  <si>
    <t>13,68,900</t>
  </si>
  <si>
    <t>3,56,98,66,440.00</t>
  </si>
  <si>
    <t>1,76,47,800</t>
  </si>
  <si>
    <t>21,34,800</t>
  </si>
  <si>
    <t>4,87,44,24,390.00</t>
  </si>
  <si>
    <t>1,71,74,700</t>
  </si>
  <si>
    <t>12,73,200</t>
  </si>
  <si>
    <t>3,06,77,61,510.00</t>
  </si>
  <si>
    <t>1,44,82,200</t>
  </si>
  <si>
    <t>-1,56,600</t>
  </si>
  <si>
    <t>7,52,979</t>
  </si>
  <si>
    <t>1,80,56,72,317.40</t>
  </si>
  <si>
    <t>26,42,100</t>
  </si>
  <si>
    <t>6,97,94,30,910.00</t>
  </si>
  <si>
    <t>1,76,21,100</t>
  </si>
  <si>
    <t>-1,71,300</t>
  </si>
  <si>
    <t>16,83,600</t>
  </si>
  <si>
    <t>3,86,00,50,800.00</t>
  </si>
  <si>
    <t>1,72,50,300</t>
  </si>
  <si>
    <t>-1,62,600</t>
  </si>
  <si>
    <t>12,33,000</t>
  </si>
  <si>
    <t>2,96,33,09,160.00</t>
  </si>
  <si>
    <t>1,46,38,800</t>
  </si>
  <si>
    <t>1,41,900</t>
  </si>
  <si>
    <t>2,98,129</t>
  </si>
  <si>
    <t>71,24,05,119.00</t>
  </si>
  <si>
    <t>12,55,200</t>
  </si>
  <si>
    <t>3,28,64,60,820.00</t>
  </si>
  <si>
    <t>1,77,92,400</t>
  </si>
  <si>
    <t>38,17,800</t>
  </si>
  <si>
    <t>8,62,42,30,740.00</t>
  </si>
  <si>
    <t>1,74,12,900</t>
  </si>
  <si>
    <t>-1,71,600</t>
  </si>
  <si>
    <t>5,92,200</t>
  </si>
  <si>
    <t>1,41,87,48,420.00</t>
  </si>
  <si>
    <t>1,44,96,900</t>
  </si>
  <si>
    <t>5,33,971</t>
  </si>
  <si>
    <t>1,28,36,38,080.00</t>
  </si>
  <si>
    <t>13,80,900</t>
  </si>
  <si>
    <t>3,59,20,55,310.00</t>
  </si>
  <si>
    <t>1,77,68,700</t>
  </si>
  <si>
    <t>45,01,200</t>
  </si>
  <si>
    <t>9,87,66,45,180.00</t>
  </si>
  <si>
    <t>1,75,84,500</t>
  </si>
  <si>
    <t>-3,34,200</t>
  </si>
  <si>
    <t>12,93,600</t>
  </si>
  <si>
    <t>3,11,72,84,880.00</t>
  </si>
  <si>
    <t>1,45,17,300</t>
  </si>
  <si>
    <t>21,11,888</t>
  </si>
  <si>
    <t>5,05,59,16,547.10</t>
  </si>
  <si>
    <t>15,26,700</t>
  </si>
  <si>
    <t>3,95,36,26,050.00</t>
  </si>
  <si>
    <t>1,77,12,000</t>
  </si>
  <si>
    <t>-1,06,200</t>
  </si>
  <si>
    <t>38,48,400</t>
  </si>
  <si>
    <t>8,67,72,92,850.00</t>
  </si>
  <si>
    <t>1,79,18,700</t>
  </si>
  <si>
    <t>40,97,100</t>
  </si>
  <si>
    <t>9,83,19,08,850.00</t>
  </si>
  <si>
    <t>1,45,65,000</t>
  </si>
  <si>
    <t>-4,21,500</t>
  </si>
  <si>
    <t>3,90,490</t>
  </si>
  <si>
    <t>91,28,61,255.60</t>
  </si>
  <si>
    <t>10,62,900</t>
  </si>
  <si>
    <t>2,74,04,57,820.00</t>
  </si>
  <si>
    <t>1,78,18,200</t>
  </si>
  <si>
    <t>18,19,800</t>
  </si>
  <si>
    <t>4,22,19,70,230.00</t>
  </si>
  <si>
    <t>1,79,47,500</t>
  </si>
  <si>
    <t>-1,39,800</t>
  </si>
  <si>
    <t>11,69,100</t>
  </si>
  <si>
    <t>2,74,50,02,340.00</t>
  </si>
  <si>
    <t>1,49,86,500</t>
  </si>
  <si>
    <t>3,69,431</t>
  </si>
  <si>
    <t>85,41,30,058.50</t>
  </si>
  <si>
    <t>8,83,200</t>
  </si>
  <si>
    <t>2,29,05,65,220.00</t>
  </si>
  <si>
    <t>1,78,56,600</t>
  </si>
  <si>
    <t>15,18,600</t>
  </si>
  <si>
    <t>3,55,19,61,930.00</t>
  </si>
  <si>
    <t>1,80,87,300</t>
  </si>
  <si>
    <t>7,61,100</t>
  </si>
  <si>
    <t>1,76,57,75,250.00</t>
  </si>
  <si>
    <t>1,50,30,600</t>
  </si>
  <si>
    <t>5,42,811</t>
  </si>
  <si>
    <t>1,25,82,25,214.30</t>
  </si>
  <si>
    <t>13,23,000</t>
  </si>
  <si>
    <t>3,43,37,97,480.00</t>
  </si>
  <si>
    <t>1,78,94,400</t>
  </si>
  <si>
    <t>13,04,100</t>
  </si>
  <si>
    <t>3,08,65,93,590.00</t>
  </si>
  <si>
    <t>1,80,92,700</t>
  </si>
  <si>
    <t>12,05,100</t>
  </si>
  <si>
    <t>2,80,60,95,720.00</t>
  </si>
  <si>
    <t>-1,63,800</t>
  </si>
  <si>
    <t>4,43,010</t>
  </si>
  <si>
    <t>1,00,73,21,887.50</t>
  </si>
  <si>
    <t>10,05,900</t>
  </si>
  <si>
    <t>2,61,31,92,930.00</t>
  </si>
  <si>
    <t>1,78,93,200</t>
  </si>
  <si>
    <t>31,98,000</t>
  </si>
  <si>
    <t>7,66,73,04,870.00</t>
  </si>
  <si>
    <t>1,81,40,100</t>
  </si>
  <si>
    <t>2,24,100</t>
  </si>
  <si>
    <t>10,71,600</t>
  </si>
  <si>
    <t>2,44,64,58,060.00</t>
  </si>
  <si>
    <t>1,51,94,400</t>
  </si>
  <si>
    <t>3,92,697</t>
  </si>
  <si>
    <t>89,97,99,540.00</t>
  </si>
  <si>
    <t>11,52,000</t>
  </si>
  <si>
    <t>2,98,86,23,940.00</t>
  </si>
  <si>
    <t>1,79,13,600</t>
  </si>
  <si>
    <t>63,80,700</t>
  </si>
  <si>
    <t>15,85,32,09,480.00</t>
  </si>
  <si>
    <t>1,79,16,000</t>
  </si>
  <si>
    <t>30,63,300</t>
  </si>
  <si>
    <t>9,39,900</t>
  </si>
  <si>
    <t>2,16,19,38,240.00</t>
  </si>
  <si>
    <t>1,52,66,700</t>
  </si>
  <si>
    <t>4,43,629</t>
  </si>
  <si>
    <t>1,01,12,51,185.30</t>
  </si>
  <si>
    <t>13,89,900</t>
  </si>
  <si>
    <t>3,62,37,08,880.00</t>
  </si>
  <si>
    <t>1,79,82,000</t>
  </si>
  <si>
    <t>-1,37,700</t>
  </si>
  <si>
    <t>45,88,200</t>
  </si>
  <si>
    <t>11,71,90,96,650.00</t>
  </si>
  <si>
    <t>1,48,52,700</t>
  </si>
  <si>
    <t>37,28,700</t>
  </si>
  <si>
    <t>8,48,400</t>
  </si>
  <si>
    <t>1,94,45,56,200.00</t>
  </si>
  <si>
    <t>1,53,48,000</t>
  </si>
  <si>
    <t>4,81,894</t>
  </si>
  <si>
    <t>1,10,03,61,913.10</t>
  </si>
  <si>
    <t>13,79,100</t>
  </si>
  <si>
    <t>3,63,15,19,620.00</t>
  </si>
  <si>
    <t>1,81,19,700</t>
  </si>
  <si>
    <t>55,68,300</t>
  </si>
  <si>
    <t>14,17,48,48,140.00</t>
  </si>
  <si>
    <t>1,11,24,000</t>
  </si>
  <si>
    <t>46,61,700</t>
  </si>
  <si>
    <t>10,90,800</t>
  </si>
  <si>
    <t>2,50,27,66,980.00</t>
  </si>
  <si>
    <t>1,53,76,200</t>
  </si>
  <si>
    <t>4,25,639</t>
  </si>
  <si>
    <t>96,82,57,145.60</t>
  </si>
  <si>
    <t>17,48,700</t>
  </si>
  <si>
    <t>4,62,09,64,530.00</t>
  </si>
  <si>
    <t>1,81,26,900</t>
  </si>
  <si>
    <t>-1,94,400</t>
  </si>
  <si>
    <t>40,69,200</t>
  </si>
  <si>
    <t>10,44,14,65,650.00</t>
  </si>
  <si>
    <t>64,62,300</t>
  </si>
  <si>
    <t>33,84,900</t>
  </si>
  <si>
    <t>8,97,600</t>
  </si>
  <si>
    <t>2,05,48,66,920.00</t>
  </si>
  <si>
    <t>1,53,64,500</t>
  </si>
  <si>
    <t>7,95,699</t>
  </si>
  <si>
    <t>1,79,64,67,753.50</t>
  </si>
  <si>
    <t>20,31,600</t>
  </si>
  <si>
    <t>5,35,18,31,550.00</t>
  </si>
  <si>
    <t>1,83,21,300</t>
  </si>
  <si>
    <t>20,06,400</t>
  </si>
  <si>
    <t>5,16,09,24,660.00</t>
  </si>
  <si>
    <t>30,77,400</t>
  </si>
  <si>
    <t>17,89,500</t>
  </si>
  <si>
    <t>12,21,600</t>
  </si>
  <si>
    <t>2,77,65,57,900.00</t>
  </si>
  <si>
    <t>1,54,58,400</t>
  </si>
  <si>
    <t>1,99,800</t>
  </si>
  <si>
    <t>9,07,868</t>
  </si>
  <si>
    <t>2,08,37,29,401.30</t>
  </si>
  <si>
    <t>5,75,100</t>
  </si>
  <si>
    <t>1,51,02,96,660.00</t>
  </si>
  <si>
    <t>12,87,900</t>
  </si>
  <si>
    <t>3,78,000</t>
  </si>
  <si>
    <t>51,99,000</t>
  </si>
  <si>
    <t>11,98,09,52,730.00</t>
  </si>
  <si>
    <t>1,52,58,600</t>
  </si>
  <si>
    <t>30,48,600</t>
  </si>
  <si>
    <t>10,71,550</t>
  </si>
  <si>
    <t>2,43,41,85,935.90</t>
  </si>
  <si>
    <t>1,59,000</t>
  </si>
  <si>
    <t>41,86,03,860.00</t>
  </si>
  <si>
    <t>9,09,900</t>
  </si>
  <si>
    <t>45,41,400</t>
  </si>
  <si>
    <t>10,37,12,59,650.00</t>
  </si>
  <si>
    <t>1,22,10,000</t>
  </si>
  <si>
    <t>32,71,500</t>
  </si>
  <si>
    <t>5,42,455</t>
  </si>
  <si>
    <t>1,25,73,53,106.10</t>
  </si>
  <si>
    <t>1,89,300</t>
  </si>
  <si>
    <t>49,61,49,780.00</t>
  </si>
  <si>
    <t>8,55,300</t>
  </si>
  <si>
    <t>42,73,200</t>
  </si>
  <si>
    <t>9,96,98,71,410.00</t>
  </si>
  <si>
    <t>89,38,500</t>
  </si>
  <si>
    <t>35,19,900</t>
  </si>
  <si>
    <t>5,84,211</t>
  </si>
  <si>
    <t>1,36,59,92,606.00</t>
  </si>
  <si>
    <t>1,20,300</t>
  </si>
  <si>
    <t>31,70,01,030.00</t>
  </si>
  <si>
    <t>7,76,400</t>
  </si>
  <si>
    <t>47,54,400</t>
  </si>
  <si>
    <t>11,16,98,45,430.00</t>
  </si>
  <si>
    <t>54,18,600</t>
  </si>
  <si>
    <t>36,67,500</t>
  </si>
  <si>
    <t>4,41,867</t>
  </si>
  <si>
    <t>1,05,37,78,241.00</t>
  </si>
  <si>
    <t>1,81,500</t>
  </si>
  <si>
    <t>47,53,21,980.00</t>
  </si>
  <si>
    <t>7,41,900</t>
  </si>
  <si>
    <t>1,13,400</t>
  </si>
  <si>
    <t>9,38,100</t>
  </si>
  <si>
    <t>2,25,03,91,440.00</t>
  </si>
  <si>
    <t>17,51,100</t>
  </si>
  <si>
    <t>7,40,700</t>
  </si>
  <si>
    <t>7,80,025</t>
  </si>
  <si>
    <t>1,86,42,08,978.30</t>
  </si>
  <si>
    <t>2,88,900</t>
  </si>
  <si>
    <t>76,72,98,750.00</t>
  </si>
  <si>
    <t>6,28,500</t>
  </si>
  <si>
    <t>1,37,100</t>
  </si>
  <si>
    <t>3,70,800</t>
  </si>
  <si>
    <t>89,11,15,380.00</t>
  </si>
  <si>
    <t>10,10,400</t>
  </si>
  <si>
    <t>2,07,900</t>
  </si>
  <si>
    <t>10,69,432</t>
  </si>
  <si>
    <t>2,53,26,11,818.70</t>
  </si>
  <si>
    <t>1,30,800</t>
  </si>
  <si>
    <t>34,43,96,190.00</t>
  </si>
  <si>
    <t>4,91,400</t>
  </si>
  <si>
    <t>5,34,000</t>
  </si>
  <si>
    <t>1,27,38,90,480.00</t>
  </si>
  <si>
    <t>8,02,500</t>
  </si>
  <si>
    <t>3,46,800</t>
  </si>
  <si>
    <t>9,88,629</t>
  </si>
  <si>
    <t>2,31,27,43,728.00</t>
  </si>
  <si>
    <t>19,85,60,700.00</t>
  </si>
  <si>
    <t>4,44,600</t>
  </si>
  <si>
    <t>1,96,500</t>
  </si>
  <si>
    <t>46,24,67,940.00</t>
  </si>
  <si>
    <t>4,55,700</t>
  </si>
  <si>
    <t>9,98,109</t>
  </si>
  <si>
    <t>2,28,12,82,532.50</t>
  </si>
  <si>
    <t>1,16,100</t>
  </si>
  <si>
    <t>30,18,59,640.00</t>
  </si>
  <si>
    <t>4,11,600</t>
  </si>
  <si>
    <t>20,00,98,050.00</t>
  </si>
  <si>
    <t>4,17,000</t>
  </si>
  <si>
    <t>8,33,679</t>
  </si>
  <si>
    <t>1,89,98,84,902.70</t>
  </si>
  <si>
    <t>16,46,64,990.00</t>
  </si>
  <si>
    <t>3,56,700</t>
  </si>
  <si>
    <t>20,87,96,070.00</t>
  </si>
  <si>
    <t>3,77,100</t>
  </si>
  <si>
    <t>10,75,526</t>
  </si>
  <si>
    <t>2,46,31,07,533.50</t>
  </si>
  <si>
    <t>11,42,33,190.00</t>
  </si>
  <si>
    <t>3,42,000</t>
  </si>
  <si>
    <t>20,21,01,420.00</t>
  </si>
  <si>
    <t>3,65,100</t>
  </si>
  <si>
    <t>23,76,286</t>
  </si>
  <si>
    <t>5,36,48,00,460.40</t>
  </si>
  <si>
    <t>1,18,272</t>
  </si>
  <si>
    <t>15,90,44,100.00</t>
  </si>
  <si>
    <t>3,26,700</t>
  </si>
  <si>
    <t>3,01,500</t>
  </si>
  <si>
    <t>68,70,19,050.00</t>
  </si>
  <si>
    <t>3,50,100</t>
  </si>
  <si>
    <t>25,52,736</t>
  </si>
  <si>
    <t>5,57,84,04,691.30</t>
  </si>
  <si>
    <t>1,01,023</t>
  </si>
  <si>
    <t>14,17,56,420.00</t>
  </si>
  <si>
    <t>3,06,600</t>
  </si>
  <si>
    <t>1,67,700</t>
  </si>
  <si>
    <t>37,02,66,870.00</t>
  </si>
  <si>
    <t>3,38,700</t>
  </si>
  <si>
    <t>15,29,410</t>
  </si>
  <si>
    <t>3,43,21,83,084.70</t>
  </si>
  <si>
    <t>20,54,92,620.00</t>
  </si>
  <si>
    <t>2,88,600</t>
  </si>
  <si>
    <t>1,60,500</t>
  </si>
  <si>
    <t>36,34,29,990.00</t>
  </si>
  <si>
    <t>2,75,700</t>
  </si>
  <si>
    <t>6,31,582</t>
  </si>
  <si>
    <t>1,45,99,65,783.80</t>
  </si>
  <si>
    <t>9,28,84,980.00</t>
  </si>
  <si>
    <t>2,48,700</t>
  </si>
  <si>
    <t>17,24,94,240.00</t>
  </si>
  <si>
    <t>2,38,500</t>
  </si>
  <si>
    <t>5,76,742</t>
  </si>
  <si>
    <t>1,34,57,85,609.30</t>
  </si>
  <si>
    <t>12,08,46,900.00</t>
  </si>
  <si>
    <t>2,47,800</t>
  </si>
  <si>
    <t>15,38,18,190.00</t>
  </si>
  <si>
    <t>2,16,900</t>
  </si>
  <si>
    <t>5,76,426</t>
  </si>
  <si>
    <t>1,35,95,14,762.40</t>
  </si>
  <si>
    <t>15,62,17,890.00</t>
  </si>
  <si>
    <t>2,31,900</t>
  </si>
  <si>
    <t>9,63,57,420.00</t>
  </si>
  <si>
    <t>1,88,100</t>
  </si>
  <si>
    <t>9,76,341</t>
  </si>
  <si>
    <t>2,33,08,21,711.40</t>
  </si>
  <si>
    <t>15,18,27,540.00</t>
  </si>
  <si>
    <t>2,19,000</t>
  </si>
  <si>
    <t>1,07,100</t>
  </si>
  <si>
    <t>25,78,30,260.00</t>
  </si>
  <si>
    <t>1,83,000</t>
  </si>
  <si>
    <t>14,57,616</t>
  </si>
  <si>
    <t>3,59,51,67,944.00</t>
  </si>
  <si>
    <t>1,38,000</t>
  </si>
  <si>
    <t>34,39,33,530.00</t>
  </si>
  <si>
    <t>1,69,200</t>
  </si>
  <si>
    <t>2,62,063</t>
  </si>
  <si>
    <t>66,59,16,830.10</t>
  </si>
  <si>
    <t>15,64,39,530.00</t>
  </si>
  <si>
    <t>1,31,700</t>
  </si>
  <si>
    <t>4,24,781</t>
  </si>
  <si>
    <t>1,07,67,00,049.20</t>
  </si>
  <si>
    <t>3,69,17,490.00</t>
  </si>
  <si>
    <t>4,28,409</t>
  </si>
  <si>
    <t>1,09,05,36,114.10</t>
  </si>
  <si>
    <t>7,40,71,470.00</t>
  </si>
  <si>
    <t>4,24,612</t>
  </si>
  <si>
    <t>1,09,05,98,540.70</t>
  </si>
  <si>
    <t>5,54,00,910.00</t>
  </si>
  <si>
    <t>2,53,782</t>
  </si>
  <si>
    <t>66,17,75,799.00</t>
  </si>
  <si>
    <t>1,98,35,910.00</t>
  </si>
  <si>
    <t>3,16,424</t>
  </si>
  <si>
    <t>82,67,31,600.80</t>
  </si>
  <si>
    <t>1,50,86,970.00</t>
  </si>
  <si>
    <t>3,87,055</t>
  </si>
  <si>
    <t>1,00,63,40,863.60</t>
  </si>
  <si>
    <t>1,65,96,000.00</t>
  </si>
  <si>
    <t>3,69,782</t>
  </si>
  <si>
    <t>96,59,53,134.90</t>
  </si>
  <si>
    <t>47,60,490.00</t>
  </si>
  <si>
    <t>4,79,942</t>
  </si>
  <si>
    <t>1,24,77,52,864.90</t>
  </si>
  <si>
    <t>1,10,77,170.00</t>
  </si>
  <si>
    <t>7,85,771</t>
  </si>
  <si>
    <t>2,06,54,38,554.40</t>
  </si>
  <si>
    <t>2,72,36,340.00</t>
  </si>
  <si>
    <t>6,86,644</t>
  </si>
  <si>
    <t>1,79,25,15,079.70</t>
  </si>
  <si>
    <t>1,19,10,570.00</t>
  </si>
  <si>
    <t>3,79,425</t>
  </si>
  <si>
    <t>98,39,07,052.20</t>
  </si>
  <si>
    <t>1,34,14,740.00</t>
  </si>
  <si>
    <t>5,36,585</t>
  </si>
  <si>
    <t>1,38,25,79,729.90</t>
  </si>
  <si>
    <t>1,17,70,380.00</t>
  </si>
  <si>
    <t>3,90,645</t>
  </si>
  <si>
    <t>1,00,30,79,094.40</t>
  </si>
  <si>
    <t>85,97,850.00</t>
  </si>
  <si>
    <t>3,06,565</t>
  </si>
  <si>
    <t>79,27,77,105.90</t>
  </si>
  <si>
    <t>1,41,58,830.00</t>
  </si>
  <si>
    <t>3,96,880</t>
  </si>
  <si>
    <t>1,02,73,13,944.80</t>
  </si>
  <si>
    <t>1,96,65,570.00</t>
  </si>
  <si>
    <t>3,57,701</t>
  </si>
  <si>
    <t>92,48,20,759.70</t>
  </si>
  <si>
    <t>31,59,960.00</t>
  </si>
  <si>
    <t>4,12,159</t>
  </si>
  <si>
    <t>1,06,45,98,371.00</t>
  </si>
  <si>
    <t>1,41,50,490.00</t>
  </si>
  <si>
    <t>3,70,305</t>
  </si>
  <si>
    <t>96,24,78,336.90</t>
  </si>
  <si>
    <t>79,22,010.00</t>
  </si>
  <si>
    <t>5,02,724</t>
  </si>
  <si>
    <t>1,31,61,81,025.70</t>
  </si>
  <si>
    <t>96,35,640.00</t>
  </si>
  <si>
    <t>6,21,409</t>
  </si>
  <si>
    <t>1,63,47,20,496.70</t>
  </si>
  <si>
    <t>1,44,85,470.00</t>
  </si>
  <si>
    <t>7,29,197</t>
  </si>
  <si>
    <t>1,91,41,51,988.60</t>
  </si>
  <si>
    <t>2,15,96,280.00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</si>
</sst>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d\-mmm\-yyyy"/>
    <numFmt numFmtId="166" formatCode="mm/dd/yyyy"/>
    <numFmt numFmtId="167" formatCode="d\-mmm\-yy"/>
    <numFmt numFmtId="168" formatCode="dd\-mmm\-yy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00FF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/>
    <xf numFmtId="10" fontId="3" fillId="0" borderId="1" xfId="0" applyNumberFormat="1" applyFont="1" applyBorder="1"/>
    <xf numFmtId="164" fontId="3" fillId="0" borderId="1" xfId="0" applyNumberFormat="1" applyFont="1" applyBorder="1"/>
    <xf numFmtId="10" fontId="3" fillId="0" borderId="1" xfId="0" applyNumberFormat="1" applyFont="1" applyBorder="1" applyAlignment="1">
      <alignment horizontal="center"/>
    </xf>
    <xf numFmtId="4" fontId="3" fillId="0" borderId="0" xfId="0" applyNumberFormat="1" applyFont="1"/>
    <xf numFmtId="10" fontId="3" fillId="0" borderId="1" xfId="0" applyNumberFormat="1" applyFont="1" applyBorder="1" applyAlignment="1">
      <alignment horizontal="right"/>
    </xf>
    <xf numFmtId="10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5" fontId="3" fillId="0" borderId="1" xfId="0" applyNumberFormat="1" applyFont="1" applyBorder="1" applyAlignment="1">
      <alignment horizontal="right"/>
    </xf>
    <xf numFmtId="0" fontId="4" fillId="0" borderId="0" xfId="0" applyFont="1"/>
    <xf numFmtId="0" fontId="5" fillId="0" borderId="0" xfId="0" applyFont="1"/>
    <xf numFmtId="0" fontId="4" fillId="0" borderId="1" xfId="0" applyFont="1" applyBorder="1"/>
    <xf numFmtId="9" fontId="4" fillId="0" borderId="1" xfId="0" applyNumberFormat="1" applyFont="1" applyBorder="1"/>
    <xf numFmtId="10" fontId="4" fillId="0" borderId="1" xfId="0" applyNumberFormat="1" applyFont="1" applyBorder="1"/>
    <xf numFmtId="164" fontId="4" fillId="0" borderId="1" xfId="0" applyNumberFormat="1" applyFont="1" applyBorder="1"/>
    <xf numFmtId="10" fontId="4" fillId="0" borderId="0" xfId="0" applyNumberFormat="1" applyFont="1"/>
    <xf numFmtId="165" fontId="4" fillId="0" borderId="1" xfId="0" applyNumberFormat="1" applyFont="1" applyBorder="1" applyAlignment="1">
      <alignment horizontal="right"/>
    </xf>
    <xf numFmtId="0" fontId="2" fillId="0" borderId="1" xfId="0" applyFont="1" applyBorder="1"/>
    <xf numFmtId="10" fontId="2" fillId="0" borderId="1" xfId="0" applyNumberFormat="1" applyFont="1" applyBorder="1"/>
    <xf numFmtId="166" fontId="3" fillId="0" borderId="1" xfId="0" applyNumberFormat="1" applyFont="1" applyBorder="1"/>
    <xf numFmtId="4" fontId="3" fillId="0" borderId="1" xfId="0" applyNumberFormat="1" applyFont="1" applyBorder="1"/>
    <xf numFmtId="10" fontId="6" fillId="0" borderId="1" xfId="0" applyNumberFormat="1" applyFont="1" applyBorder="1"/>
    <xf numFmtId="0" fontId="3" fillId="2" borderId="1" xfId="0" applyFont="1" applyFill="1" applyBorder="1"/>
    <xf numFmtId="10" fontId="7" fillId="0" borderId="1" xfId="0" applyNumberFormat="1" applyFont="1" applyBorder="1"/>
    <xf numFmtId="0" fontId="3" fillId="3" borderId="1" xfId="0" applyFont="1" applyFill="1" applyBorder="1"/>
    <xf numFmtId="0" fontId="3" fillId="4" borderId="0" xfId="0" applyFont="1" applyFill="1"/>
    <xf numFmtId="4" fontId="3" fillId="4" borderId="1" xfId="0" applyNumberFormat="1" applyFont="1" applyFill="1" applyBorder="1"/>
    <xf numFmtId="0" fontId="3" fillId="4" borderId="1" xfId="0" applyFont="1" applyFill="1" applyBorder="1"/>
    <xf numFmtId="10" fontId="3" fillId="4" borderId="1" xfId="0" applyNumberFormat="1" applyFont="1" applyFill="1" applyBorder="1"/>
    <xf numFmtId="10" fontId="6" fillId="4" borderId="1" xfId="0" applyNumberFormat="1" applyFont="1" applyFill="1" applyBorder="1"/>
    <xf numFmtId="166" fontId="3" fillId="0" borderId="0" xfId="0" applyNumberFormat="1" applyFont="1"/>
    <xf numFmtId="10" fontId="3" fillId="0" borderId="0" xfId="0" applyNumberFormat="1" applyFont="1"/>
    <xf numFmtId="166" fontId="3" fillId="4" borderId="1" xfId="0" applyNumberFormat="1" applyFont="1" applyFill="1" applyBorder="1"/>
    <xf numFmtId="10" fontId="3" fillId="4" borderId="0" xfId="0" applyNumberFormat="1" applyFont="1" applyFill="1"/>
    <xf numFmtId="3" fontId="3" fillId="0" borderId="1" xfId="0" applyNumberFormat="1" applyFont="1" applyBorder="1"/>
    <xf numFmtId="10" fontId="7" fillId="0" borderId="0" xfId="0" applyNumberFormat="1" applyFont="1"/>
    <xf numFmtId="15" fontId="1" fillId="0" borderId="1" xfId="0" applyNumberFormat="1" applyFont="1" applyBorder="1"/>
    <xf numFmtId="4" fontId="1" fillId="0" borderId="1" xfId="0" applyNumberFormat="1" applyFont="1" applyBorder="1"/>
    <xf numFmtId="3" fontId="1" fillId="0" borderId="1" xfId="0" applyNumberFormat="1" applyFont="1" applyBorder="1"/>
    <xf numFmtId="0" fontId="8" fillId="0" borderId="1" xfId="0" applyFont="1" applyBorder="1"/>
    <xf numFmtId="167" fontId="9" fillId="0" borderId="1" xfId="0" applyNumberFormat="1" applyFont="1" applyBorder="1" applyAlignment="1">
      <alignment horizontal="right"/>
    </xf>
    <xf numFmtId="0" fontId="9" fillId="0" borderId="1" xfId="0" applyFont="1" applyBorder="1"/>
    <xf numFmtId="4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3" fontId="9" fillId="0" borderId="1" xfId="0" applyNumberFormat="1" applyFont="1" applyBorder="1"/>
    <xf numFmtId="168" fontId="9" fillId="0" borderId="1" xfId="0" applyNumberFormat="1" applyFont="1" applyBorder="1" applyAlignment="1">
      <alignment horizontal="righ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3" fontId="9" fillId="0" borderId="0" xfId="0" applyNumberFormat="1" applyFont="1" applyAlignment="1">
      <alignment horizontal="right"/>
    </xf>
    <xf numFmtId="167" fontId="9" fillId="0" borderId="0" xfId="0" applyNumberFormat="1" applyFont="1" applyAlignment="1">
      <alignment horizontal="right"/>
    </xf>
    <xf numFmtId="168" fontId="9" fillId="0" borderId="0" xfId="0" applyNumberFormat="1" applyFont="1" applyAlignment="1">
      <alignment horizontal="right"/>
    </xf>
  </cellXfs>
  <cellStyles count="1">
    <cellStyle name="Normal" xfId="0" builtinId="0"/>
  </cellStyles>
  <dxfs count="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6"/>
  <sheetViews>
    <sheetView workbookViewId="0"/>
  </sheetViews>
  <sheetFormatPr defaultColWidth="14.44140625" defaultRowHeight="15" customHeight="1" x14ac:dyDescent="0.3"/>
  <cols>
    <col min="1" max="1" width="41.88671875" customWidth="1"/>
    <col min="2" max="2" width="18.88671875" customWidth="1"/>
  </cols>
  <sheetData>
    <row r="1" spans="1:3" x14ac:dyDescent="0.3">
      <c r="A1" s="1" t="s">
        <v>0</v>
      </c>
      <c r="B1" s="2"/>
    </row>
    <row r="2" spans="1:3" x14ac:dyDescent="0.3">
      <c r="A2" s="2"/>
      <c r="B2" s="2"/>
    </row>
    <row r="3" spans="1:3" x14ac:dyDescent="0.3">
      <c r="A3" s="3" t="s">
        <v>1</v>
      </c>
      <c r="B3" s="4">
        <f>Assumptions!B4</f>
        <v>100000000</v>
      </c>
    </row>
    <row r="4" spans="1:3" x14ac:dyDescent="0.3">
      <c r="A4" s="3" t="s">
        <v>2</v>
      </c>
      <c r="B4" s="5">
        <f>Daily_Ledger!L93</f>
        <v>101683253.71288095</v>
      </c>
    </row>
    <row r="5" spans="1:3" x14ac:dyDescent="0.3">
      <c r="A5" s="3" t="s">
        <v>3</v>
      </c>
      <c r="B5" s="5">
        <f>B4-B3</f>
        <v>1683253.7128809541</v>
      </c>
    </row>
    <row r="6" spans="1:3" x14ac:dyDescent="0.3">
      <c r="A6" s="3" t="s">
        <v>4</v>
      </c>
      <c r="B6" s="6">
        <f>Assumptions!B5</f>
        <v>0.06</v>
      </c>
    </row>
    <row r="7" spans="1:3" x14ac:dyDescent="0.3">
      <c r="A7" s="3" t="s">
        <v>5</v>
      </c>
      <c r="B7" s="7">
        <f>B6/365</f>
        <v>1.6438356164383562E-4</v>
      </c>
    </row>
    <row r="8" spans="1:3" x14ac:dyDescent="0.3">
      <c r="A8" s="3" t="s">
        <v>6</v>
      </c>
      <c r="B8" s="8">
        <f>Assumptions!B7</f>
        <v>45839</v>
      </c>
    </row>
    <row r="9" spans="1:3" x14ac:dyDescent="0.3">
      <c r="A9" s="3" t="s">
        <v>7</v>
      </c>
      <c r="B9" s="8">
        <f>Assumptions!B8</f>
        <v>45930</v>
      </c>
    </row>
    <row r="10" spans="1:3" x14ac:dyDescent="0.3">
      <c r="A10" s="3" t="s">
        <v>8</v>
      </c>
      <c r="B10" s="3">
        <f>B9-B8+1</f>
        <v>92</v>
      </c>
    </row>
    <row r="11" spans="1:3" x14ac:dyDescent="0.3">
      <c r="A11" s="2"/>
      <c r="B11" s="2"/>
    </row>
    <row r="12" spans="1:3" x14ac:dyDescent="0.3">
      <c r="A12" s="3" t="s">
        <v>9</v>
      </c>
      <c r="B12" s="9">
        <f>B5/B3</f>
        <v>1.6832537128809541E-2</v>
      </c>
      <c r="C12" s="10"/>
    </row>
    <row r="13" spans="1:3" x14ac:dyDescent="0.3">
      <c r="A13" s="3" t="s">
        <v>10</v>
      </c>
      <c r="B13" s="11">
        <f>B12*(365/B10)</f>
        <v>6.6781261434950903E-2</v>
      </c>
    </row>
    <row r="14" spans="1:3" x14ac:dyDescent="0.3">
      <c r="A14" s="2"/>
      <c r="B14" s="2"/>
    </row>
    <row r="15" spans="1:3" x14ac:dyDescent="0.3">
      <c r="A15" s="1" t="s">
        <v>11</v>
      </c>
      <c r="B15" s="2"/>
    </row>
    <row r="16" spans="1:3" x14ac:dyDescent="0.3">
      <c r="A16" s="2"/>
      <c r="B16" s="12"/>
    </row>
    <row r="17" spans="1:2" x14ac:dyDescent="0.3">
      <c r="A17" s="3" t="s">
        <v>12</v>
      </c>
      <c r="B17" s="11">
        <f>B6</f>
        <v>0.06</v>
      </c>
    </row>
    <row r="18" spans="1:2" x14ac:dyDescent="0.3">
      <c r="A18" s="3" t="s">
        <v>13</v>
      </c>
      <c r="B18" s="9">
        <f>(1+B17)^(B10/365)-1</f>
        <v>1.4795340983863481E-2</v>
      </c>
    </row>
    <row r="19" spans="1:2" x14ac:dyDescent="0.3">
      <c r="A19" s="3" t="s">
        <v>14</v>
      </c>
      <c r="B19" s="9">
        <f>B13-B17</f>
        <v>6.7812614349509054E-3</v>
      </c>
    </row>
    <row r="20" spans="1:2" x14ac:dyDescent="0.3">
      <c r="A20" s="2"/>
      <c r="B20" s="13"/>
    </row>
    <row r="21" spans="1:2" x14ac:dyDescent="0.3">
      <c r="A21" s="1" t="s">
        <v>15</v>
      </c>
    </row>
    <row r="23" spans="1:2" x14ac:dyDescent="0.3">
      <c r="A23" s="3" t="s">
        <v>16</v>
      </c>
      <c r="B23" s="7">
        <f>Assumptions!B13</f>
        <v>6.4500000000000002E-2</v>
      </c>
    </row>
    <row r="24" spans="1:2" x14ac:dyDescent="0.3">
      <c r="A24" s="3" t="s">
        <v>17</v>
      </c>
      <c r="B24" s="6">
        <f>Assumptions!B14</f>
        <v>0.45</v>
      </c>
    </row>
    <row r="25" spans="1:2" x14ac:dyDescent="0.3">
      <c r="A25" s="3" t="s">
        <v>18</v>
      </c>
      <c r="B25" s="6">
        <f>Assumptions!B15</f>
        <v>0.33</v>
      </c>
    </row>
    <row r="26" spans="1:2" x14ac:dyDescent="0.3">
      <c r="A26" s="3" t="s">
        <v>19</v>
      </c>
      <c r="B26" s="7">
        <f>Assumptions!B16</f>
        <v>5.0000000000000001E-4</v>
      </c>
    </row>
    <row r="27" spans="1:2" x14ac:dyDescent="0.3">
      <c r="A27" s="3" t="s">
        <v>20</v>
      </c>
      <c r="B27" s="7">
        <f>Assumptions!B17</f>
        <v>2.0000000000000001E-4</v>
      </c>
    </row>
    <row r="28" spans="1:2" x14ac:dyDescent="0.3">
      <c r="A28" s="3" t="s">
        <v>21</v>
      </c>
      <c r="B28" s="6">
        <f>Assumptions!B18</f>
        <v>0.2</v>
      </c>
    </row>
    <row r="29" spans="1:2" x14ac:dyDescent="0.3">
      <c r="A29" s="3" t="s">
        <v>22</v>
      </c>
      <c r="B29" s="7">
        <f>Assumptions!B19</f>
        <v>5.0000000000000001E-3</v>
      </c>
    </row>
    <row r="30" spans="1:2" x14ac:dyDescent="0.3">
      <c r="A30" s="2"/>
      <c r="B30" s="13"/>
    </row>
    <row r="31" spans="1:2" x14ac:dyDescent="0.3">
      <c r="A31" s="1" t="s">
        <v>23</v>
      </c>
    </row>
    <row r="33" spans="1:2" x14ac:dyDescent="0.3">
      <c r="A33" s="3" t="s">
        <v>24</v>
      </c>
      <c r="B33" s="3" t="s">
        <v>25</v>
      </c>
    </row>
    <row r="34" spans="1:2" x14ac:dyDescent="0.3">
      <c r="A34" s="3" t="s">
        <v>26</v>
      </c>
      <c r="B34" s="3">
        <f>Assumptions!B24</f>
        <v>500</v>
      </c>
    </row>
    <row r="35" spans="1:2" x14ac:dyDescent="0.3">
      <c r="A35" s="3" t="s">
        <v>27</v>
      </c>
      <c r="B35" s="3">
        <f>Assumptions!B25</f>
        <v>300</v>
      </c>
    </row>
    <row r="37" spans="1:2" x14ac:dyDescent="0.3">
      <c r="A37" s="3" t="s">
        <v>28</v>
      </c>
      <c r="B37" s="3" t="s">
        <v>29</v>
      </c>
    </row>
    <row r="38" spans="1:2" x14ac:dyDescent="0.3">
      <c r="A38" s="3" t="s">
        <v>30</v>
      </c>
      <c r="B38" s="14">
        <f>Assumptions!B30</f>
        <v>45869</v>
      </c>
    </row>
    <row r="39" spans="1:2" x14ac:dyDescent="0.3">
      <c r="A39" s="3" t="s">
        <v>31</v>
      </c>
      <c r="B39" s="14">
        <f>Assumptions!B31</f>
        <v>45897</v>
      </c>
    </row>
    <row r="40" spans="1:2" x14ac:dyDescent="0.3">
      <c r="A40" s="3" t="s">
        <v>32</v>
      </c>
      <c r="B40" s="14">
        <f>Assumptions!B32</f>
        <v>45930</v>
      </c>
    </row>
    <row r="42" spans="1:2" x14ac:dyDescent="0.3">
      <c r="A42" s="1" t="s">
        <v>33</v>
      </c>
    </row>
    <row r="44" spans="1:2" x14ac:dyDescent="0.3">
      <c r="A44" s="3" t="s">
        <v>34</v>
      </c>
      <c r="B44" s="3">
        <f>COUNT(Trade_Log!A:A)</f>
        <v>12</v>
      </c>
    </row>
    <row r="45" spans="1:2" x14ac:dyDescent="0.3">
      <c r="A45" s="3" t="s">
        <v>35</v>
      </c>
      <c r="B45" s="3">
        <f>SUM(Daily_Ledger!H:H)</f>
        <v>1199969.5388809156</v>
      </c>
    </row>
    <row r="46" spans="1:2" x14ac:dyDescent="0.3">
      <c r="A46" s="3" t="s">
        <v>36</v>
      </c>
      <c r="B46" s="3">
        <f>B5-B45</f>
        <v>483284.17400003853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4"/>
  <sheetViews>
    <sheetView workbookViewId="0"/>
  </sheetViews>
  <sheetFormatPr defaultColWidth="14.44140625" defaultRowHeight="15" customHeight="1" x14ac:dyDescent="0.3"/>
  <cols>
    <col min="1" max="1" width="31.88671875" customWidth="1"/>
    <col min="2" max="2" width="18.109375" customWidth="1"/>
  </cols>
  <sheetData>
    <row r="1" spans="1:26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3">
      <c r="A2" s="16" t="s">
        <v>37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3">
      <c r="A4" s="17" t="s">
        <v>1</v>
      </c>
      <c r="B4" s="17">
        <v>100000000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3">
      <c r="A5" s="17" t="s">
        <v>4</v>
      </c>
      <c r="B5" s="18">
        <v>0.06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3">
      <c r="A6" s="17" t="s">
        <v>5</v>
      </c>
      <c r="B6" s="19">
        <f>B5/365</f>
        <v>1.6438356164383562E-4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x14ac:dyDescent="0.3">
      <c r="A7" s="17" t="s">
        <v>6</v>
      </c>
      <c r="B7" s="20">
        <v>45839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x14ac:dyDescent="0.3">
      <c r="A8" s="17" t="s">
        <v>7</v>
      </c>
      <c r="B8" s="20">
        <v>45930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x14ac:dyDescent="0.3">
      <c r="A9" s="17" t="s">
        <v>8</v>
      </c>
      <c r="B9" s="17">
        <f>B8-B7+1</f>
        <v>92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x14ac:dyDescent="0.3">
      <c r="A11" s="16" t="s">
        <v>15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x14ac:dyDescent="0.3">
      <c r="A13" s="17" t="s">
        <v>16</v>
      </c>
      <c r="B13" s="19">
        <v>6.4500000000000002E-2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3">
      <c r="A14" s="17" t="s">
        <v>17</v>
      </c>
      <c r="B14" s="18">
        <v>0.45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3">
      <c r="A15" s="17" t="s">
        <v>18</v>
      </c>
      <c r="B15" s="18">
        <v>0.33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x14ac:dyDescent="0.3">
      <c r="A16" s="17" t="s">
        <v>19</v>
      </c>
      <c r="B16" s="19">
        <v>5.0000000000000001E-4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x14ac:dyDescent="0.3">
      <c r="A17" s="17" t="s">
        <v>20</v>
      </c>
      <c r="B17" s="19">
        <v>2.0000000000000001E-4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3">
      <c r="A18" s="17" t="s">
        <v>21</v>
      </c>
      <c r="B18" s="18">
        <v>0.2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x14ac:dyDescent="0.3">
      <c r="A19" s="17" t="s">
        <v>22</v>
      </c>
      <c r="B19" s="19">
        <v>5.0000000000000001E-3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x14ac:dyDescent="0.3">
      <c r="A20" s="15"/>
      <c r="B20" s="21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x14ac:dyDescent="0.3">
      <c r="A21" s="16" t="s">
        <v>23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x14ac:dyDescent="0.3">
      <c r="A23" s="17" t="s">
        <v>24</v>
      </c>
      <c r="B23" s="17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x14ac:dyDescent="0.3">
      <c r="A24" s="17" t="s">
        <v>26</v>
      </c>
      <c r="B24" s="17">
        <v>500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x14ac:dyDescent="0.3">
      <c r="A25" s="17" t="s">
        <v>27</v>
      </c>
      <c r="B25" s="17">
        <v>300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x14ac:dyDescent="0.3">
      <c r="A27" s="16" t="s">
        <v>38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x14ac:dyDescent="0.3">
      <c r="A29" s="17" t="s">
        <v>28</v>
      </c>
      <c r="B29" s="17" t="s">
        <v>29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x14ac:dyDescent="0.3">
      <c r="A30" s="17" t="s">
        <v>30</v>
      </c>
      <c r="B30" s="22">
        <v>45869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x14ac:dyDescent="0.3">
      <c r="A31" s="17" t="s">
        <v>31</v>
      </c>
      <c r="B31" s="22">
        <v>45897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x14ac:dyDescent="0.3">
      <c r="A32" s="17" t="s">
        <v>32</v>
      </c>
      <c r="B32" s="22">
        <v>45930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x14ac:dyDescent="0.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x14ac:dyDescent="0.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x14ac:dyDescent="0.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x14ac:dyDescent="0.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x14ac:dyDescent="0.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x14ac:dyDescent="0.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x14ac:dyDescent="0.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x14ac:dyDescent="0.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x14ac:dyDescent="0.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x14ac:dyDescent="0.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x14ac:dyDescent="0.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x14ac:dyDescent="0.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x14ac:dyDescent="0.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x14ac:dyDescent="0.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x14ac:dyDescent="0.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x14ac:dyDescent="0.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x14ac:dyDescent="0.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x14ac:dyDescent="0.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x14ac:dyDescent="0.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x14ac:dyDescent="0.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x14ac:dyDescent="0.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x14ac:dyDescent="0.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x14ac:dyDescent="0.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x14ac:dyDescent="0.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x14ac:dyDescent="0.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x14ac:dyDescent="0.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x14ac:dyDescent="0.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x14ac:dyDescent="0.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x14ac:dyDescent="0.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x14ac:dyDescent="0.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x14ac:dyDescent="0.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x14ac:dyDescent="0.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x14ac:dyDescent="0.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x14ac:dyDescent="0.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x14ac:dyDescent="0.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x14ac:dyDescent="0.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x14ac:dyDescent="0.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x14ac:dyDescent="0.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x14ac:dyDescent="0.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x14ac:dyDescent="0.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x14ac:dyDescent="0.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x14ac:dyDescent="0.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x14ac:dyDescent="0.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x14ac:dyDescent="0.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x14ac:dyDescent="0.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x14ac:dyDescent="0.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x14ac:dyDescent="0.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x14ac:dyDescent="0.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x14ac:dyDescent="0.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x14ac:dyDescent="0.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x14ac:dyDescent="0.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x14ac:dyDescent="0.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x14ac:dyDescent="0.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x14ac:dyDescent="0.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x14ac:dyDescent="0.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x14ac:dyDescent="0.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x14ac:dyDescent="0.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x14ac:dyDescent="0.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x14ac:dyDescent="0.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x14ac:dyDescent="0.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x14ac:dyDescent="0.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x14ac:dyDescent="0.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x14ac:dyDescent="0.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x14ac:dyDescent="0.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x14ac:dyDescent="0.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x14ac:dyDescent="0.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x14ac:dyDescent="0.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x14ac:dyDescent="0.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x14ac:dyDescent="0.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x14ac:dyDescent="0.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x14ac:dyDescent="0.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x14ac:dyDescent="0.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x14ac:dyDescent="0.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x14ac:dyDescent="0.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x14ac:dyDescent="0.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x14ac:dyDescent="0.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x14ac:dyDescent="0.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x14ac:dyDescent="0.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x14ac:dyDescent="0.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x14ac:dyDescent="0.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x14ac:dyDescent="0.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x14ac:dyDescent="0.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x14ac:dyDescent="0.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x14ac:dyDescent="0.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x14ac:dyDescent="0.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x14ac:dyDescent="0.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x14ac:dyDescent="0.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x14ac:dyDescent="0.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x14ac:dyDescent="0.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x14ac:dyDescent="0.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x14ac:dyDescent="0.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x14ac:dyDescent="0.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x14ac:dyDescent="0.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x14ac:dyDescent="0.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x14ac:dyDescent="0.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x14ac:dyDescent="0.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x14ac:dyDescent="0.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x14ac:dyDescent="0.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x14ac:dyDescent="0.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x14ac:dyDescent="0.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x14ac:dyDescent="0.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x14ac:dyDescent="0.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x14ac:dyDescent="0.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x14ac:dyDescent="0.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x14ac:dyDescent="0.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x14ac:dyDescent="0.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x14ac:dyDescent="0.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x14ac:dyDescent="0.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x14ac:dyDescent="0.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x14ac:dyDescent="0.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x14ac:dyDescent="0.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x14ac:dyDescent="0.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x14ac:dyDescent="0.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x14ac:dyDescent="0.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x14ac:dyDescent="0.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x14ac:dyDescent="0.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x14ac:dyDescent="0.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x14ac:dyDescent="0.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x14ac:dyDescent="0.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x14ac:dyDescent="0.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x14ac:dyDescent="0.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x14ac:dyDescent="0.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x14ac:dyDescent="0.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x14ac:dyDescent="0.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x14ac:dyDescent="0.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x14ac:dyDescent="0.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x14ac:dyDescent="0.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x14ac:dyDescent="0.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x14ac:dyDescent="0.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x14ac:dyDescent="0.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x14ac:dyDescent="0.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x14ac:dyDescent="0.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x14ac:dyDescent="0.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x14ac:dyDescent="0.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x14ac:dyDescent="0.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x14ac:dyDescent="0.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x14ac:dyDescent="0.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x14ac:dyDescent="0.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x14ac:dyDescent="0.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x14ac:dyDescent="0.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x14ac:dyDescent="0.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x14ac:dyDescent="0.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x14ac:dyDescent="0.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x14ac:dyDescent="0.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x14ac:dyDescent="0.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x14ac:dyDescent="0.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x14ac:dyDescent="0.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x14ac:dyDescent="0.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x14ac:dyDescent="0.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x14ac:dyDescent="0.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x14ac:dyDescent="0.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x14ac:dyDescent="0.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x14ac:dyDescent="0.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x14ac:dyDescent="0.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x14ac:dyDescent="0.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x14ac:dyDescent="0.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x14ac:dyDescent="0.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x14ac:dyDescent="0.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x14ac:dyDescent="0.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x14ac:dyDescent="0.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x14ac:dyDescent="0.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x14ac:dyDescent="0.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x14ac:dyDescent="0.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x14ac:dyDescent="0.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x14ac:dyDescent="0.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x14ac:dyDescent="0.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x14ac:dyDescent="0.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x14ac:dyDescent="0.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x14ac:dyDescent="0.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x14ac:dyDescent="0.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x14ac:dyDescent="0.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x14ac:dyDescent="0.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x14ac:dyDescent="0.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x14ac:dyDescent="0.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x14ac:dyDescent="0.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x14ac:dyDescent="0.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x14ac:dyDescent="0.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x14ac:dyDescent="0.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x14ac:dyDescent="0.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x14ac:dyDescent="0.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x14ac:dyDescent="0.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x14ac:dyDescent="0.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x14ac:dyDescent="0.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x14ac:dyDescent="0.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x14ac:dyDescent="0.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x14ac:dyDescent="0.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x14ac:dyDescent="0.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x14ac:dyDescent="0.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x14ac:dyDescent="0.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x14ac:dyDescent="0.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x14ac:dyDescent="0.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x14ac:dyDescent="0.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x14ac:dyDescent="0.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x14ac:dyDescent="0.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x14ac:dyDescent="0.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x14ac:dyDescent="0.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x14ac:dyDescent="0.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x14ac:dyDescent="0.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x14ac:dyDescent="0.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x14ac:dyDescent="0.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x14ac:dyDescent="0.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x14ac:dyDescent="0.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x14ac:dyDescent="0.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x14ac:dyDescent="0.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x14ac:dyDescent="0.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x14ac:dyDescent="0.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x14ac:dyDescent="0.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x14ac:dyDescent="0.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x14ac:dyDescent="0.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x14ac:dyDescent="0.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x14ac:dyDescent="0.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x14ac:dyDescent="0.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x14ac:dyDescent="0.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x14ac:dyDescent="0.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x14ac:dyDescent="0.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x14ac:dyDescent="0.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x14ac:dyDescent="0.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x14ac:dyDescent="0.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x14ac:dyDescent="0.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x14ac:dyDescent="0.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x14ac:dyDescent="0.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x14ac:dyDescent="0.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x14ac:dyDescent="0.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x14ac:dyDescent="0.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x14ac:dyDescent="0.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x14ac:dyDescent="0.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x14ac:dyDescent="0.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x14ac:dyDescent="0.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x14ac:dyDescent="0.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x14ac:dyDescent="0.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x14ac:dyDescent="0.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x14ac:dyDescent="0.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x14ac:dyDescent="0.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x14ac:dyDescent="0.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x14ac:dyDescent="0.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x14ac:dyDescent="0.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x14ac:dyDescent="0.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x14ac:dyDescent="0.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x14ac:dyDescent="0.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x14ac:dyDescent="0.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x14ac:dyDescent="0.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x14ac:dyDescent="0.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x14ac:dyDescent="0.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x14ac:dyDescent="0.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x14ac:dyDescent="0.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x14ac:dyDescent="0.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x14ac:dyDescent="0.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x14ac:dyDescent="0.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x14ac:dyDescent="0.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x14ac:dyDescent="0.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x14ac:dyDescent="0.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x14ac:dyDescent="0.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x14ac:dyDescent="0.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x14ac:dyDescent="0.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x14ac:dyDescent="0.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x14ac:dyDescent="0.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x14ac:dyDescent="0.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x14ac:dyDescent="0.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x14ac:dyDescent="0.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x14ac:dyDescent="0.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x14ac:dyDescent="0.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x14ac:dyDescent="0.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x14ac:dyDescent="0.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x14ac:dyDescent="0.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x14ac:dyDescent="0.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x14ac:dyDescent="0.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x14ac:dyDescent="0.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x14ac:dyDescent="0.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x14ac:dyDescent="0.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x14ac:dyDescent="0.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x14ac:dyDescent="0.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x14ac:dyDescent="0.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x14ac:dyDescent="0.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x14ac:dyDescent="0.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x14ac:dyDescent="0.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x14ac:dyDescent="0.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x14ac:dyDescent="0.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x14ac:dyDescent="0.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x14ac:dyDescent="0.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x14ac:dyDescent="0.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x14ac:dyDescent="0.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x14ac:dyDescent="0.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x14ac:dyDescent="0.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x14ac:dyDescent="0.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x14ac:dyDescent="0.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x14ac:dyDescent="0.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x14ac:dyDescent="0.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x14ac:dyDescent="0.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x14ac:dyDescent="0.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x14ac:dyDescent="0.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x14ac:dyDescent="0.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x14ac:dyDescent="0.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x14ac:dyDescent="0.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x14ac:dyDescent="0.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x14ac:dyDescent="0.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x14ac:dyDescent="0.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x14ac:dyDescent="0.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x14ac:dyDescent="0.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x14ac:dyDescent="0.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x14ac:dyDescent="0.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x14ac:dyDescent="0.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x14ac:dyDescent="0.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x14ac:dyDescent="0.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x14ac:dyDescent="0.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x14ac:dyDescent="0.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x14ac:dyDescent="0.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x14ac:dyDescent="0.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x14ac:dyDescent="0.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x14ac:dyDescent="0.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x14ac:dyDescent="0.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x14ac:dyDescent="0.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x14ac:dyDescent="0.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x14ac:dyDescent="0.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x14ac:dyDescent="0.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x14ac:dyDescent="0.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x14ac:dyDescent="0.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x14ac:dyDescent="0.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x14ac:dyDescent="0.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x14ac:dyDescent="0.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x14ac:dyDescent="0.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x14ac:dyDescent="0.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x14ac:dyDescent="0.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x14ac:dyDescent="0.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x14ac:dyDescent="0.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x14ac:dyDescent="0.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x14ac:dyDescent="0.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x14ac:dyDescent="0.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x14ac:dyDescent="0.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x14ac:dyDescent="0.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x14ac:dyDescent="0.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x14ac:dyDescent="0.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x14ac:dyDescent="0.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x14ac:dyDescent="0.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x14ac:dyDescent="0.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x14ac:dyDescent="0.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x14ac:dyDescent="0.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x14ac:dyDescent="0.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x14ac:dyDescent="0.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x14ac:dyDescent="0.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x14ac:dyDescent="0.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x14ac:dyDescent="0.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x14ac:dyDescent="0.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x14ac:dyDescent="0.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x14ac:dyDescent="0.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x14ac:dyDescent="0.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x14ac:dyDescent="0.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x14ac:dyDescent="0.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x14ac:dyDescent="0.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x14ac:dyDescent="0.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x14ac:dyDescent="0.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x14ac:dyDescent="0.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x14ac:dyDescent="0.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x14ac:dyDescent="0.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x14ac:dyDescent="0.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x14ac:dyDescent="0.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x14ac:dyDescent="0.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x14ac:dyDescent="0.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x14ac:dyDescent="0.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x14ac:dyDescent="0.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x14ac:dyDescent="0.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x14ac:dyDescent="0.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x14ac:dyDescent="0.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x14ac:dyDescent="0.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x14ac:dyDescent="0.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x14ac:dyDescent="0.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x14ac:dyDescent="0.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x14ac:dyDescent="0.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x14ac:dyDescent="0.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x14ac:dyDescent="0.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x14ac:dyDescent="0.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x14ac:dyDescent="0.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x14ac:dyDescent="0.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x14ac:dyDescent="0.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x14ac:dyDescent="0.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x14ac:dyDescent="0.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x14ac:dyDescent="0.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x14ac:dyDescent="0.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x14ac:dyDescent="0.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x14ac:dyDescent="0.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x14ac:dyDescent="0.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x14ac:dyDescent="0.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x14ac:dyDescent="0.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x14ac:dyDescent="0.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x14ac:dyDescent="0.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x14ac:dyDescent="0.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x14ac:dyDescent="0.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x14ac:dyDescent="0.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x14ac:dyDescent="0.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x14ac:dyDescent="0.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x14ac:dyDescent="0.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x14ac:dyDescent="0.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x14ac:dyDescent="0.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x14ac:dyDescent="0.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x14ac:dyDescent="0.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x14ac:dyDescent="0.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x14ac:dyDescent="0.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x14ac:dyDescent="0.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x14ac:dyDescent="0.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x14ac:dyDescent="0.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x14ac:dyDescent="0.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x14ac:dyDescent="0.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x14ac:dyDescent="0.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x14ac:dyDescent="0.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x14ac:dyDescent="0.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x14ac:dyDescent="0.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x14ac:dyDescent="0.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x14ac:dyDescent="0.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x14ac:dyDescent="0.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x14ac:dyDescent="0.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x14ac:dyDescent="0.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x14ac:dyDescent="0.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x14ac:dyDescent="0.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x14ac:dyDescent="0.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x14ac:dyDescent="0.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x14ac:dyDescent="0.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x14ac:dyDescent="0.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x14ac:dyDescent="0.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x14ac:dyDescent="0.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x14ac:dyDescent="0.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x14ac:dyDescent="0.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x14ac:dyDescent="0.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x14ac:dyDescent="0.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x14ac:dyDescent="0.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x14ac:dyDescent="0.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x14ac:dyDescent="0.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x14ac:dyDescent="0.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x14ac:dyDescent="0.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x14ac:dyDescent="0.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x14ac:dyDescent="0.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x14ac:dyDescent="0.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x14ac:dyDescent="0.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x14ac:dyDescent="0.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x14ac:dyDescent="0.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x14ac:dyDescent="0.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x14ac:dyDescent="0.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x14ac:dyDescent="0.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x14ac:dyDescent="0.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x14ac:dyDescent="0.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x14ac:dyDescent="0.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x14ac:dyDescent="0.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x14ac:dyDescent="0.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x14ac:dyDescent="0.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x14ac:dyDescent="0.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x14ac:dyDescent="0.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x14ac:dyDescent="0.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x14ac:dyDescent="0.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x14ac:dyDescent="0.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x14ac:dyDescent="0.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x14ac:dyDescent="0.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x14ac:dyDescent="0.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x14ac:dyDescent="0.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x14ac:dyDescent="0.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x14ac:dyDescent="0.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x14ac:dyDescent="0.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x14ac:dyDescent="0.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x14ac:dyDescent="0.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x14ac:dyDescent="0.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x14ac:dyDescent="0.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x14ac:dyDescent="0.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x14ac:dyDescent="0.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x14ac:dyDescent="0.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x14ac:dyDescent="0.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x14ac:dyDescent="0.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x14ac:dyDescent="0.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x14ac:dyDescent="0.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x14ac:dyDescent="0.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x14ac:dyDescent="0.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x14ac:dyDescent="0.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x14ac:dyDescent="0.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x14ac:dyDescent="0.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x14ac:dyDescent="0.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x14ac:dyDescent="0.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x14ac:dyDescent="0.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x14ac:dyDescent="0.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x14ac:dyDescent="0.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x14ac:dyDescent="0.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x14ac:dyDescent="0.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x14ac:dyDescent="0.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x14ac:dyDescent="0.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x14ac:dyDescent="0.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x14ac:dyDescent="0.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x14ac:dyDescent="0.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x14ac:dyDescent="0.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x14ac:dyDescent="0.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x14ac:dyDescent="0.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x14ac:dyDescent="0.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x14ac:dyDescent="0.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x14ac:dyDescent="0.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x14ac:dyDescent="0.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x14ac:dyDescent="0.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x14ac:dyDescent="0.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x14ac:dyDescent="0.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x14ac:dyDescent="0.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x14ac:dyDescent="0.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x14ac:dyDescent="0.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x14ac:dyDescent="0.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x14ac:dyDescent="0.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x14ac:dyDescent="0.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x14ac:dyDescent="0.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x14ac:dyDescent="0.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x14ac:dyDescent="0.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x14ac:dyDescent="0.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x14ac:dyDescent="0.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x14ac:dyDescent="0.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x14ac:dyDescent="0.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x14ac:dyDescent="0.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x14ac:dyDescent="0.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x14ac:dyDescent="0.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x14ac:dyDescent="0.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x14ac:dyDescent="0.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x14ac:dyDescent="0.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x14ac:dyDescent="0.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x14ac:dyDescent="0.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x14ac:dyDescent="0.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x14ac:dyDescent="0.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x14ac:dyDescent="0.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x14ac:dyDescent="0.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x14ac:dyDescent="0.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x14ac:dyDescent="0.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x14ac:dyDescent="0.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x14ac:dyDescent="0.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x14ac:dyDescent="0.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x14ac:dyDescent="0.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x14ac:dyDescent="0.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x14ac:dyDescent="0.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x14ac:dyDescent="0.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x14ac:dyDescent="0.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x14ac:dyDescent="0.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x14ac:dyDescent="0.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x14ac:dyDescent="0.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x14ac:dyDescent="0.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x14ac:dyDescent="0.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x14ac:dyDescent="0.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x14ac:dyDescent="0.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x14ac:dyDescent="0.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x14ac:dyDescent="0.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x14ac:dyDescent="0.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x14ac:dyDescent="0.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x14ac:dyDescent="0.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x14ac:dyDescent="0.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x14ac:dyDescent="0.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x14ac:dyDescent="0.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x14ac:dyDescent="0.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x14ac:dyDescent="0.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x14ac:dyDescent="0.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x14ac:dyDescent="0.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x14ac:dyDescent="0.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x14ac:dyDescent="0.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x14ac:dyDescent="0.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x14ac:dyDescent="0.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x14ac:dyDescent="0.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x14ac:dyDescent="0.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x14ac:dyDescent="0.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x14ac:dyDescent="0.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x14ac:dyDescent="0.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x14ac:dyDescent="0.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x14ac:dyDescent="0.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x14ac:dyDescent="0.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x14ac:dyDescent="0.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x14ac:dyDescent="0.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x14ac:dyDescent="0.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x14ac:dyDescent="0.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x14ac:dyDescent="0.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x14ac:dyDescent="0.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x14ac:dyDescent="0.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x14ac:dyDescent="0.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x14ac:dyDescent="0.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x14ac:dyDescent="0.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x14ac:dyDescent="0.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x14ac:dyDescent="0.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x14ac:dyDescent="0.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x14ac:dyDescent="0.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x14ac:dyDescent="0.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x14ac:dyDescent="0.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x14ac:dyDescent="0.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x14ac:dyDescent="0.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x14ac:dyDescent="0.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x14ac:dyDescent="0.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x14ac:dyDescent="0.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x14ac:dyDescent="0.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x14ac:dyDescent="0.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x14ac:dyDescent="0.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x14ac:dyDescent="0.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x14ac:dyDescent="0.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x14ac:dyDescent="0.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x14ac:dyDescent="0.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x14ac:dyDescent="0.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x14ac:dyDescent="0.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x14ac:dyDescent="0.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x14ac:dyDescent="0.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x14ac:dyDescent="0.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x14ac:dyDescent="0.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x14ac:dyDescent="0.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x14ac:dyDescent="0.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x14ac:dyDescent="0.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x14ac:dyDescent="0.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x14ac:dyDescent="0.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x14ac:dyDescent="0.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x14ac:dyDescent="0.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x14ac:dyDescent="0.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x14ac:dyDescent="0.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x14ac:dyDescent="0.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x14ac:dyDescent="0.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x14ac:dyDescent="0.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x14ac:dyDescent="0.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x14ac:dyDescent="0.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x14ac:dyDescent="0.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x14ac:dyDescent="0.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x14ac:dyDescent="0.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x14ac:dyDescent="0.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x14ac:dyDescent="0.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x14ac:dyDescent="0.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x14ac:dyDescent="0.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x14ac:dyDescent="0.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x14ac:dyDescent="0.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x14ac:dyDescent="0.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x14ac:dyDescent="0.3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x14ac:dyDescent="0.3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spans="1:26" x14ac:dyDescent="0.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spans="1:26" x14ac:dyDescent="0.3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L1000"/>
  <sheetViews>
    <sheetView workbookViewId="0"/>
  </sheetViews>
  <sheetFormatPr defaultColWidth="14.44140625" defaultRowHeight="15" customHeight="1" x14ac:dyDescent="0.3"/>
  <cols>
    <col min="4" max="4" width="19" customWidth="1"/>
    <col min="5" max="5" width="16.44140625" customWidth="1"/>
    <col min="13" max="13" width="20.6640625" customWidth="1"/>
    <col min="15" max="16" width="21.88671875" customWidth="1"/>
    <col min="17" max="17" width="23.6640625" customWidth="1"/>
    <col min="25" max="25" width="23" customWidth="1"/>
    <col min="27" max="28" width="26.6640625" customWidth="1"/>
    <col min="29" max="29" width="25.33203125" customWidth="1"/>
    <col min="37" max="37" width="22.33203125" customWidth="1"/>
  </cols>
  <sheetData>
    <row r="1" spans="1:38" x14ac:dyDescent="0.3">
      <c r="A1" s="23" t="s">
        <v>39</v>
      </c>
      <c r="B1" s="23" t="s">
        <v>40</v>
      </c>
      <c r="C1" s="23" t="s">
        <v>41</v>
      </c>
      <c r="D1" s="23" t="s">
        <v>42</v>
      </c>
      <c r="E1" s="23" t="s">
        <v>43</v>
      </c>
      <c r="F1" s="23" t="s">
        <v>44</v>
      </c>
      <c r="G1" s="23" t="s">
        <v>45</v>
      </c>
      <c r="H1" s="23" t="s">
        <v>46</v>
      </c>
      <c r="I1" s="23" t="s">
        <v>47</v>
      </c>
      <c r="J1" s="23" t="s">
        <v>48</v>
      </c>
      <c r="K1" s="23" t="s">
        <v>49</v>
      </c>
      <c r="L1" s="24" t="s">
        <v>50</v>
      </c>
      <c r="M1" s="23" t="s">
        <v>51</v>
      </c>
      <c r="N1" s="23" t="s">
        <v>52</v>
      </c>
      <c r="O1" s="1"/>
      <c r="P1" s="23" t="s">
        <v>53</v>
      </c>
      <c r="Q1" s="23" t="s">
        <v>54</v>
      </c>
      <c r="R1" s="23" t="s">
        <v>44</v>
      </c>
      <c r="S1" s="23" t="s">
        <v>45</v>
      </c>
      <c r="T1" s="23" t="s">
        <v>46</v>
      </c>
      <c r="U1" s="23" t="s">
        <v>47</v>
      </c>
      <c r="V1" s="23" t="s">
        <v>48</v>
      </c>
      <c r="W1" s="23" t="s">
        <v>49</v>
      </c>
      <c r="X1" s="24" t="s">
        <v>50</v>
      </c>
      <c r="Y1" s="23" t="s">
        <v>51</v>
      </c>
      <c r="Z1" s="23" t="s">
        <v>52</v>
      </c>
      <c r="AA1" s="1"/>
      <c r="AB1" s="23" t="s">
        <v>55</v>
      </c>
      <c r="AC1" s="23" t="s">
        <v>56</v>
      </c>
      <c r="AD1" s="23" t="s">
        <v>44</v>
      </c>
      <c r="AE1" s="23" t="s">
        <v>45</v>
      </c>
      <c r="AF1" s="23" t="s">
        <v>46</v>
      </c>
      <c r="AG1" s="23" t="s">
        <v>47</v>
      </c>
      <c r="AH1" s="23" t="s">
        <v>48</v>
      </c>
      <c r="AI1" s="23" t="s">
        <v>49</v>
      </c>
      <c r="AJ1" s="24" t="s">
        <v>50</v>
      </c>
      <c r="AK1" s="23" t="s">
        <v>51</v>
      </c>
      <c r="AL1" s="23" t="s">
        <v>52</v>
      </c>
    </row>
    <row r="2" spans="1:38" x14ac:dyDescent="0.3">
      <c r="A2" s="25">
        <v>45839</v>
      </c>
      <c r="B2" s="3" t="s">
        <v>26</v>
      </c>
      <c r="C2" s="26">
        <f>VLOOKUP(A2, Raw_Data_Reliance!A:N, 8, FALSE)</f>
        <v>1528.4</v>
      </c>
      <c r="D2" s="26">
        <f>VLOOKUP(A2, Raw_Data_Reliance!O:AA, 8, FALSE)</f>
        <v>1532.1</v>
      </c>
      <c r="E2" s="25">
        <f>Assumptions!$B$30</f>
        <v>45869</v>
      </c>
      <c r="F2" s="3">
        <f t="shared" ref="F2:F32" si="0">E2-A2</f>
        <v>30</v>
      </c>
      <c r="G2" s="3">
        <f>C2*(1+(Assumptions!$B$19*F2/365))</f>
        <v>1529.0281095890414</v>
      </c>
      <c r="H2" s="26">
        <f t="shared" ref="H2:H32" si="1">D2-G2</f>
        <v>3.071890410958531</v>
      </c>
      <c r="I2" s="3">
        <f>(C2*Assumptions!$B$16)+(D2*Assumptions!$B$17)</f>
        <v>1.0706200000000001</v>
      </c>
      <c r="J2" s="26">
        <f t="shared" ref="J2:J32" si="2">H2-I2</f>
        <v>2.0012704109585311</v>
      </c>
      <c r="K2" s="26">
        <f>C2+(D2*Assumptions!$B$15)</f>
        <v>2033.9930000000002</v>
      </c>
      <c r="L2" s="7">
        <f t="shared" ref="L2:L32" si="3">J2/K2</f>
        <v>9.8391214274509849E-4</v>
      </c>
      <c r="M2" s="27">
        <f t="shared" ref="M2:M32" si="4">L2*(365/F2)</f>
        <v>1.1970931070065364E-2</v>
      </c>
      <c r="N2" s="28" t="str">
        <f>IF(AND(F2&gt;0, M2 &gt; Assumptions!$B$13), "ENTER", "DONT ENTER")</f>
        <v>DONT ENTER</v>
      </c>
      <c r="P2" s="26">
        <f>VLOOKUP(A2, Raw_Data_Reliance!AB:AP, 8, FALSE)</f>
        <v>1536.2</v>
      </c>
      <c r="Q2" s="25">
        <f>Assumptions!$B$31</f>
        <v>45897</v>
      </c>
      <c r="R2" s="3">
        <f t="shared" ref="R2:R60" si="5">Q2-A2</f>
        <v>58</v>
      </c>
      <c r="S2" s="3">
        <f>C2*(1+(Assumptions!$B$19*R2/365))</f>
        <v>1529.6143452054794</v>
      </c>
      <c r="T2" s="26">
        <f t="shared" ref="T2:T60" si="6">P2-S2</f>
        <v>6.5856547945206785</v>
      </c>
      <c r="U2" s="3">
        <f>(C2*Assumptions!$B$16)+(P2*Assumptions!$B$17)</f>
        <v>1.0714400000000002</v>
      </c>
      <c r="V2" s="26">
        <f t="shared" ref="V2:V60" si="7">T2-U2</f>
        <v>5.5142147945206785</v>
      </c>
      <c r="W2" s="26">
        <f>C2+(P2*Assumptions!$B$15)</f>
        <v>2035.346</v>
      </c>
      <c r="X2" s="7">
        <f t="shared" ref="X2:X60" si="8">V2/W2</f>
        <v>2.7092272245213731E-3</v>
      </c>
      <c r="Y2" s="27">
        <f t="shared" ref="Y2:Y60" si="9">X2*(365/R2)</f>
        <v>1.7049447188798295E-2</v>
      </c>
      <c r="Z2" s="28" t="str">
        <f>IF(AND(R2&gt;0,Y2  &gt; Assumptions!$B$13), "ENTER", "DONT ENTER")</f>
        <v>DONT ENTER</v>
      </c>
      <c r="AB2" s="26">
        <f>VLOOKUP(A2, Raw_Data_Reliance!AQ:BE, 8, FALSE)</f>
        <v>1544.4</v>
      </c>
      <c r="AC2" s="25">
        <f>Assumptions!$B$32</f>
        <v>45930</v>
      </c>
      <c r="AD2" s="3">
        <f t="shared" ref="AD2:AD185" si="10">AC2-A2</f>
        <v>91</v>
      </c>
      <c r="AE2" s="3">
        <f>C2*(1+(Assumptions!$B$13*AD2/365))</f>
        <v>1552.977928219178</v>
      </c>
      <c r="AF2" s="26">
        <f t="shared" ref="AF2:AF185" si="11">AB2-AE2</f>
        <v>-8.5779282191779203</v>
      </c>
      <c r="AG2" s="3">
        <f>(C2*Assumptions!$B$16)+(AB2*Assumptions!$B$17)</f>
        <v>1.07308</v>
      </c>
      <c r="AH2" s="26">
        <f t="shared" ref="AH2:AH185" si="12">AF2-AG2</f>
        <v>-9.6510082191779212</v>
      </c>
      <c r="AI2" s="26">
        <f>C2+(AB2*Assumptions!$B$15)</f>
        <v>2038.0520000000001</v>
      </c>
      <c r="AJ2" s="7">
        <f t="shared" ref="AJ2:AJ185" si="13">AH2/AI2</f>
        <v>-4.7354082325563431E-3</v>
      </c>
      <c r="AK2" s="27">
        <f t="shared" ref="AK2:AK185" si="14">AJ2*(365/AD2)</f>
        <v>-1.8993670383330385E-2</v>
      </c>
      <c r="AL2" s="28" t="str">
        <f>IF(AND(AD2&gt;0,AK2  &gt; Assumptions!$B$13), "ENTER", "DONT ENTER")</f>
        <v>DONT ENTER</v>
      </c>
    </row>
    <row r="3" spans="1:38" x14ac:dyDescent="0.3">
      <c r="A3" s="25">
        <v>45840</v>
      </c>
      <c r="B3" s="3" t="s">
        <v>26</v>
      </c>
      <c r="C3" s="26">
        <f>VLOOKUP(A3, Raw_Data_Reliance!A:N, 8, FALSE)</f>
        <v>1518.8</v>
      </c>
      <c r="D3" s="26">
        <f>VLOOKUP(A3, Raw_Data_Reliance!O:AA, 8, FALSE)</f>
        <v>1523.2</v>
      </c>
      <c r="E3" s="25">
        <f>Assumptions!$B$30</f>
        <v>45869</v>
      </c>
      <c r="F3" s="3">
        <f t="shared" si="0"/>
        <v>29</v>
      </c>
      <c r="G3" s="3">
        <f>C3*(1+(Assumptions!$B$19*F3/365))</f>
        <v>1519.4033589041096</v>
      </c>
      <c r="H3" s="26">
        <f t="shared" si="1"/>
        <v>3.7966410958904362</v>
      </c>
      <c r="I3" s="3">
        <f>(C3*Assumptions!$B$16)+(D3*Assumptions!$B$17)</f>
        <v>1.0640399999999999</v>
      </c>
      <c r="J3" s="26">
        <f t="shared" si="2"/>
        <v>2.7326010958904363</v>
      </c>
      <c r="K3" s="26">
        <f>C3+(D3*Assumptions!$B$15)</f>
        <v>2021.4560000000001</v>
      </c>
      <c r="L3" s="7">
        <f t="shared" si="3"/>
        <v>1.3517984541293188E-3</v>
      </c>
      <c r="M3" s="27">
        <f t="shared" si="4"/>
        <v>1.7014015026110392E-2</v>
      </c>
      <c r="N3" s="28" t="str">
        <f>IF(AND(F3&gt;0, M3 &gt; Assumptions!$B$13), "ENTER", "DONT ENTER")</f>
        <v>DONT ENTER</v>
      </c>
      <c r="P3" s="26">
        <f>VLOOKUP(A3, Raw_Data_Reliance!AB:AP, 8, FALSE)</f>
        <v>1527</v>
      </c>
      <c r="Q3" s="25">
        <f>Assumptions!$B$31</f>
        <v>45897</v>
      </c>
      <c r="R3" s="3">
        <f t="shared" si="5"/>
        <v>57</v>
      </c>
      <c r="S3" s="3">
        <f>C3*(1+(Assumptions!$B$19*R3/365))</f>
        <v>1519.9859123287672</v>
      </c>
      <c r="T3" s="26">
        <f t="shared" si="6"/>
        <v>7.0140876712328009</v>
      </c>
      <c r="U3" s="3">
        <f>(C3*Assumptions!$B$16)+(P3*Assumptions!$B$17)</f>
        <v>1.0648</v>
      </c>
      <c r="V3" s="26">
        <f t="shared" si="7"/>
        <v>5.9492876712328009</v>
      </c>
      <c r="W3" s="26">
        <f>C3+(P3*Assumptions!$B$15)</f>
        <v>2022.71</v>
      </c>
      <c r="X3" s="7">
        <f t="shared" si="8"/>
        <v>2.9412459874291427E-3</v>
      </c>
      <c r="Y3" s="27">
        <f t="shared" si="9"/>
        <v>1.8834294480905914E-2</v>
      </c>
      <c r="Z3" s="28" t="str">
        <f>IF(AND(R3&gt;0,Y3  &gt; Assumptions!$B$13), "ENTER", "DONT ENTER")</f>
        <v>DONT ENTER</v>
      </c>
      <c r="AB3" s="26">
        <f>VLOOKUP(A3, Raw_Data_Reliance!AQ:BE, 8, FALSE)</f>
        <v>1536</v>
      </c>
      <c r="AC3" s="25">
        <f>Assumptions!$B$32</f>
        <v>45930</v>
      </c>
      <c r="AD3" s="3">
        <f t="shared" si="10"/>
        <v>90</v>
      </c>
      <c r="AE3" s="3">
        <f>C3*(1+(Assumptions!$B$13*AD3/365))</f>
        <v>1542.9551616438355</v>
      </c>
      <c r="AF3" s="26">
        <f t="shared" si="11"/>
        <v>-6.9551616438354813</v>
      </c>
      <c r="AG3" s="3">
        <f>(C3*Assumptions!$B$16)+(AB3*Assumptions!$B$17)</f>
        <v>1.0666</v>
      </c>
      <c r="AH3" s="26">
        <f t="shared" si="12"/>
        <v>-8.0217616438354806</v>
      </c>
      <c r="AI3" s="26">
        <f>C3+(AB3*Assumptions!$B$15)</f>
        <v>2025.6799999999998</v>
      </c>
      <c r="AJ3" s="7">
        <f t="shared" si="13"/>
        <v>-3.9600339855433639E-3</v>
      </c>
      <c r="AK3" s="27">
        <f t="shared" si="14"/>
        <v>-1.6060137830259197E-2</v>
      </c>
      <c r="AL3" s="28" t="str">
        <f>IF(AND(AD3&gt;0,AK3  &gt; Assumptions!$B$13), "ENTER", "DONT ENTER")</f>
        <v>DONT ENTER</v>
      </c>
    </row>
    <row r="4" spans="1:38" x14ac:dyDescent="0.3">
      <c r="A4" s="25">
        <v>45841</v>
      </c>
      <c r="B4" s="3" t="s">
        <v>26</v>
      </c>
      <c r="C4" s="26">
        <f>VLOOKUP(A4, Raw_Data_Reliance!A:N, 8, FALSE)</f>
        <v>1517.8</v>
      </c>
      <c r="D4" s="26">
        <f>VLOOKUP(A4, Raw_Data_Reliance!O:AA, 8, FALSE)</f>
        <v>1525.3</v>
      </c>
      <c r="E4" s="25">
        <f>Assumptions!$B$30</f>
        <v>45869</v>
      </c>
      <c r="F4" s="3">
        <f t="shared" si="0"/>
        <v>28</v>
      </c>
      <c r="G4" s="3">
        <f>C4*(1+(Assumptions!$B$19*F4/365))</f>
        <v>1518.3821698630138</v>
      </c>
      <c r="H4" s="26">
        <f t="shared" si="1"/>
        <v>6.9178301369861401</v>
      </c>
      <c r="I4" s="3">
        <f>(C4*Assumptions!$B$16)+(D4*Assumptions!$B$17)</f>
        <v>1.06396</v>
      </c>
      <c r="J4" s="26">
        <f t="shared" si="2"/>
        <v>5.8538701369861403</v>
      </c>
      <c r="K4" s="26">
        <f>C4+(D4*Assumptions!$B$15)</f>
        <v>2021.1489999999999</v>
      </c>
      <c r="L4" s="7">
        <f t="shared" si="3"/>
        <v>2.8963080589239788E-3</v>
      </c>
      <c r="M4" s="27">
        <f t="shared" si="4"/>
        <v>3.7755444339544725E-2</v>
      </c>
      <c r="N4" s="28" t="str">
        <f>IF(AND(F4&gt;0, M4 &gt; Assumptions!$B$13), "ENTER", "DONT ENTER")</f>
        <v>DONT ENTER</v>
      </c>
      <c r="P4" s="26">
        <f>VLOOKUP(A4, Raw_Data_Reliance!AB:AP, 8, FALSE)</f>
        <v>1527.7</v>
      </c>
      <c r="Q4" s="25">
        <f>Assumptions!$B$31</f>
        <v>45897</v>
      </c>
      <c r="R4" s="3">
        <f t="shared" si="5"/>
        <v>56</v>
      </c>
      <c r="S4" s="3">
        <f>C4*(1+(Assumptions!$B$19*R4/365))</f>
        <v>1518.9643397260272</v>
      </c>
      <c r="T4" s="26">
        <f t="shared" si="6"/>
        <v>8.735660273972826</v>
      </c>
      <c r="U4" s="3">
        <f>(C4*Assumptions!$B$16)+(P4*Assumptions!$B$17)</f>
        <v>1.0644400000000001</v>
      </c>
      <c r="V4" s="26">
        <f t="shared" si="7"/>
        <v>7.6712202739728257</v>
      </c>
      <c r="W4" s="26">
        <f>C4+(P4*Assumptions!$B$15)</f>
        <v>2021.941</v>
      </c>
      <c r="X4" s="7">
        <f t="shared" si="8"/>
        <v>3.7939881895529223E-3</v>
      </c>
      <c r="Y4" s="27">
        <f t="shared" si="9"/>
        <v>2.4728673021193154E-2</v>
      </c>
      <c r="Z4" s="28" t="str">
        <f>IF(AND(R4&gt;0,Y4  &gt; Assumptions!$B$13), "ENTER", "DONT ENTER")</f>
        <v>DONT ENTER</v>
      </c>
      <c r="AB4" s="26">
        <f>VLOOKUP(A4, Raw_Data_Reliance!AQ:BE, 8, FALSE)</f>
        <v>1537.8</v>
      </c>
      <c r="AC4" s="25">
        <f>Assumptions!$B$32</f>
        <v>45930</v>
      </c>
      <c r="AD4" s="3">
        <f t="shared" si="10"/>
        <v>89</v>
      </c>
      <c r="AE4" s="3">
        <f>C4*(1+(Assumptions!$B$13*AD4/365))</f>
        <v>1541.671043561644</v>
      </c>
      <c r="AF4" s="26">
        <f t="shared" si="11"/>
        <v>-3.8710435616440009</v>
      </c>
      <c r="AG4" s="3">
        <f>(C4*Assumptions!$B$16)+(AB4*Assumptions!$B$17)</f>
        <v>1.06646</v>
      </c>
      <c r="AH4" s="26">
        <f t="shared" si="12"/>
        <v>-4.9375035616440011</v>
      </c>
      <c r="AI4" s="26">
        <f>C4+(AB4*Assumptions!$B$15)</f>
        <v>2025.2739999999999</v>
      </c>
      <c r="AJ4" s="7">
        <f t="shared" si="13"/>
        <v>-2.4379434889521129E-3</v>
      </c>
      <c r="AK4" s="27">
        <f t="shared" si="14"/>
        <v>-9.9983075670507984E-3</v>
      </c>
      <c r="AL4" s="28" t="str">
        <f>IF(AND(AD4&gt;0,AK4  &gt; Assumptions!$B$13), "ENTER", "DONT ENTER")</f>
        <v>DONT ENTER</v>
      </c>
    </row>
    <row r="5" spans="1:38" x14ac:dyDescent="0.3">
      <c r="A5" s="25">
        <v>45842</v>
      </c>
      <c r="B5" s="3" t="s">
        <v>26</v>
      </c>
      <c r="C5" s="26">
        <f>VLOOKUP(A5, Raw_Data_Reliance!A:N, 8, FALSE)</f>
        <v>1527.3</v>
      </c>
      <c r="D5" s="26">
        <f>VLOOKUP(A5, Raw_Data_Reliance!O:AA, 8, FALSE)</f>
        <v>1531.3</v>
      </c>
      <c r="E5" s="25">
        <f>Assumptions!$B$30</f>
        <v>45869</v>
      </c>
      <c r="F5" s="3">
        <f t="shared" si="0"/>
        <v>27</v>
      </c>
      <c r="G5" s="3">
        <f>C5*(1+(Assumptions!$B$19*F5/365))</f>
        <v>1527.8648917808218</v>
      </c>
      <c r="H5" s="26">
        <f t="shared" si="1"/>
        <v>3.4351082191781188</v>
      </c>
      <c r="I5" s="3">
        <f>(C5*Assumptions!$B$16)+(D5*Assumptions!$B$17)</f>
        <v>1.0699099999999999</v>
      </c>
      <c r="J5" s="26">
        <f t="shared" si="2"/>
        <v>2.3651982191781187</v>
      </c>
      <c r="K5" s="26">
        <f>C5+(D5*Assumptions!$B$15)</f>
        <v>2032.6289999999999</v>
      </c>
      <c r="L5" s="7">
        <f t="shared" si="3"/>
        <v>1.163615307652365E-3</v>
      </c>
      <c r="M5" s="27">
        <f t="shared" si="4"/>
        <v>1.573035508493012E-2</v>
      </c>
      <c r="N5" s="28" t="str">
        <f>IF(AND(F5&gt;0, M5 &gt; Assumptions!$B$13), "ENTER", "DONT ENTER")</f>
        <v>DONT ENTER</v>
      </c>
      <c r="P5" s="26">
        <f>VLOOKUP(A5, Raw_Data_Reliance!AB:AP, 8, FALSE)</f>
        <v>1534.1</v>
      </c>
      <c r="Q5" s="25">
        <f>Assumptions!$B$31</f>
        <v>45897</v>
      </c>
      <c r="R5" s="3">
        <f t="shared" si="5"/>
        <v>55</v>
      </c>
      <c r="S5" s="3">
        <f>C5*(1+(Assumptions!$B$19*R5/365))</f>
        <v>1528.4507054794519</v>
      </c>
      <c r="T5" s="26">
        <f t="shared" si="6"/>
        <v>5.6492945205479828</v>
      </c>
      <c r="U5" s="3">
        <f>(C5*Assumptions!$B$16)+(P5*Assumptions!$B$17)</f>
        <v>1.0704699999999998</v>
      </c>
      <c r="V5" s="26">
        <f t="shared" si="7"/>
        <v>4.5788245205479825</v>
      </c>
      <c r="W5" s="26">
        <f>C5+(P5*Assumptions!$B$15)</f>
        <v>2033.5529999999999</v>
      </c>
      <c r="X5" s="7">
        <f t="shared" si="8"/>
        <v>2.25163766105333E-3</v>
      </c>
      <c r="Y5" s="27">
        <f t="shared" si="9"/>
        <v>1.4942686296081191E-2</v>
      </c>
      <c r="Z5" s="28" t="str">
        <f>IF(AND(R5&gt;0,Y5  &gt; Assumptions!$B$13), "ENTER", "DONT ENTER")</f>
        <v>DONT ENTER</v>
      </c>
      <c r="AB5" s="26">
        <f>VLOOKUP(A5, Raw_Data_Reliance!AQ:BE, 8, FALSE)</f>
        <v>1543.3</v>
      </c>
      <c r="AC5" s="25">
        <f>Assumptions!$B$32</f>
        <v>45930</v>
      </c>
      <c r="AD5" s="3">
        <f t="shared" si="10"/>
        <v>88</v>
      </c>
      <c r="AE5" s="3">
        <f>C5*(1+(Assumptions!$B$13*AD5/365))</f>
        <v>1551.0505610958903</v>
      </c>
      <c r="AF5" s="26">
        <f t="shared" si="11"/>
        <v>-7.7505610958903617</v>
      </c>
      <c r="AG5" s="3">
        <f>(C5*Assumptions!$B$16)+(AB5*Assumptions!$B$17)</f>
        <v>1.0723099999999999</v>
      </c>
      <c r="AH5" s="26">
        <f t="shared" si="12"/>
        <v>-8.8228710958903616</v>
      </c>
      <c r="AI5" s="26">
        <f>C5+(AB5*Assumptions!$B$15)</f>
        <v>2036.5889999999999</v>
      </c>
      <c r="AJ5" s="7">
        <f t="shared" si="13"/>
        <v>-4.3321804722947837E-3</v>
      </c>
      <c r="AK5" s="27">
        <f t="shared" si="14"/>
        <v>-1.7968703095313589E-2</v>
      </c>
      <c r="AL5" s="28" t="str">
        <f>IF(AND(AD5&gt;0,AK5  &gt; Assumptions!$B$13), "ENTER", "DONT ENTER")</f>
        <v>DONT ENTER</v>
      </c>
    </row>
    <row r="6" spans="1:38" x14ac:dyDescent="0.3">
      <c r="A6" s="25">
        <v>45843</v>
      </c>
      <c r="B6" s="3" t="s">
        <v>26</v>
      </c>
      <c r="C6" s="3" t="e">
        <f>VLOOKUP(A6, Raw_Data_Reliance!A:N, 8, FALSE)</f>
        <v>#N/A</v>
      </c>
      <c r="D6" s="3" t="e">
        <f>VLOOKUP(A6, Raw_Data_Reliance!O:AA, 8, FALSE)</f>
        <v>#N/A</v>
      </c>
      <c r="E6" s="25">
        <f>Assumptions!$B$30</f>
        <v>45869</v>
      </c>
      <c r="F6" s="3">
        <f t="shared" si="0"/>
        <v>26</v>
      </c>
      <c r="G6" s="3" t="e">
        <f>C6*(1+(Assumptions!$B$19*F6/365))</f>
        <v>#N/A</v>
      </c>
      <c r="H6" s="3" t="e">
        <f t="shared" si="1"/>
        <v>#N/A</v>
      </c>
      <c r="I6" s="3" t="e">
        <f>(C6*Assumptions!$B$16)+(D6*Assumptions!$B$17)</f>
        <v>#N/A</v>
      </c>
      <c r="J6" s="3" t="e">
        <f t="shared" si="2"/>
        <v>#N/A</v>
      </c>
      <c r="K6" s="3" t="e">
        <f>C6+(D6*Assumptions!$B$15)</f>
        <v>#N/A</v>
      </c>
      <c r="L6" s="7" t="e">
        <f t="shared" si="3"/>
        <v>#N/A</v>
      </c>
      <c r="M6" s="7" t="e">
        <f t="shared" si="4"/>
        <v>#N/A</v>
      </c>
      <c r="N6" s="3" t="e">
        <f>IF(AND(F6&gt;0, M6 &gt; Assumptions!$B$13), "ENTER", "DONT ENTER")</f>
        <v>#N/A</v>
      </c>
      <c r="P6" s="3" t="e">
        <f>VLOOKUP(A6, Raw_Data_Reliance!AB:AP, 8, FALSE)</f>
        <v>#N/A</v>
      </c>
      <c r="Q6" s="25">
        <f>Assumptions!$B$31</f>
        <v>45897</v>
      </c>
      <c r="R6" s="3">
        <f t="shared" si="5"/>
        <v>54</v>
      </c>
      <c r="S6" s="3" t="e">
        <f>C6*(1+(Assumptions!$B$19*R6/365))</f>
        <v>#N/A</v>
      </c>
      <c r="T6" s="3" t="e">
        <f t="shared" si="6"/>
        <v>#N/A</v>
      </c>
      <c r="U6" s="3" t="e">
        <f>(C6*Assumptions!$B$16)+(P6*Assumptions!$B$17)</f>
        <v>#N/A</v>
      </c>
      <c r="V6" s="3" t="e">
        <f t="shared" si="7"/>
        <v>#N/A</v>
      </c>
      <c r="W6" s="3" t="e">
        <f>C6+(P6*Assumptions!$B$15)</f>
        <v>#N/A</v>
      </c>
      <c r="X6" s="7" t="e">
        <f t="shared" si="8"/>
        <v>#N/A</v>
      </c>
      <c r="Y6" s="7" t="e">
        <f t="shared" si="9"/>
        <v>#N/A</v>
      </c>
      <c r="Z6" s="3" t="e">
        <f>IF(AND(R6&gt;0,Y6  &gt; Assumptions!$B$13), "ENTER", "DONT ENTER")</f>
        <v>#N/A</v>
      </c>
      <c r="AB6" s="3" t="e">
        <f>VLOOKUP(A6, Raw_Data_Reliance!AQ:BE, 8, FALSE)</f>
        <v>#N/A</v>
      </c>
      <c r="AC6" s="25">
        <f>Assumptions!$B$32</f>
        <v>45930</v>
      </c>
      <c r="AD6" s="3">
        <f t="shared" si="10"/>
        <v>87</v>
      </c>
      <c r="AE6" s="3" t="e">
        <f>C6*(1+(Assumptions!$B$13*AD6/365))</f>
        <v>#N/A</v>
      </c>
      <c r="AF6" s="3" t="e">
        <f t="shared" si="11"/>
        <v>#N/A</v>
      </c>
      <c r="AG6" s="3" t="e">
        <f>(C6*Assumptions!$B$16)+(AB6*Assumptions!$B$17)</f>
        <v>#N/A</v>
      </c>
      <c r="AH6" s="3" t="e">
        <f t="shared" si="12"/>
        <v>#N/A</v>
      </c>
      <c r="AI6" s="3" t="e">
        <f>C6+(AB6*Assumptions!$B$15)</f>
        <v>#N/A</v>
      </c>
      <c r="AJ6" s="7" t="e">
        <f t="shared" si="13"/>
        <v>#N/A</v>
      </c>
      <c r="AK6" s="7" t="e">
        <f t="shared" si="14"/>
        <v>#N/A</v>
      </c>
      <c r="AL6" s="3" t="e">
        <f>IF(AND(AD6&gt;0,AK6  &gt; Assumptions!$B$13), "ENTER", "DONT ENTER")</f>
        <v>#N/A</v>
      </c>
    </row>
    <row r="7" spans="1:38" x14ac:dyDescent="0.3">
      <c r="A7" s="25">
        <v>45844</v>
      </c>
      <c r="B7" s="3" t="s">
        <v>26</v>
      </c>
      <c r="C7" s="3" t="e">
        <f>VLOOKUP(A7, Raw_Data_Reliance!A:N, 8, FALSE)</f>
        <v>#N/A</v>
      </c>
      <c r="D7" s="3" t="e">
        <f>VLOOKUP(A7, Raw_Data_Reliance!O:AA, 8, FALSE)</f>
        <v>#N/A</v>
      </c>
      <c r="E7" s="25">
        <f>Assumptions!$B$30</f>
        <v>45869</v>
      </c>
      <c r="F7" s="3">
        <f t="shared" si="0"/>
        <v>25</v>
      </c>
      <c r="G7" s="3" t="e">
        <f>C7*(1+(Assumptions!$B$19*F7/365))</f>
        <v>#N/A</v>
      </c>
      <c r="H7" s="3" t="e">
        <f t="shared" si="1"/>
        <v>#N/A</v>
      </c>
      <c r="I7" s="3" t="e">
        <f>(C7*Assumptions!$B$16)+(D7*Assumptions!$B$17)</f>
        <v>#N/A</v>
      </c>
      <c r="J7" s="3" t="e">
        <f t="shared" si="2"/>
        <v>#N/A</v>
      </c>
      <c r="K7" s="3" t="e">
        <f>C7+(D7*Assumptions!$B$15)</f>
        <v>#N/A</v>
      </c>
      <c r="L7" s="7" t="e">
        <f t="shared" si="3"/>
        <v>#N/A</v>
      </c>
      <c r="M7" s="7" t="e">
        <f t="shared" si="4"/>
        <v>#N/A</v>
      </c>
      <c r="N7" s="3" t="e">
        <f>IF(AND(F7&gt;0, M7 &gt; Assumptions!$B$13), "ENTER", "DONT ENTER")</f>
        <v>#N/A</v>
      </c>
      <c r="P7" s="3" t="e">
        <f>VLOOKUP(A7, Raw_Data_Reliance!AB:AP, 8, FALSE)</f>
        <v>#N/A</v>
      </c>
      <c r="Q7" s="25">
        <f>Assumptions!$B$31</f>
        <v>45897</v>
      </c>
      <c r="R7" s="3">
        <f t="shared" si="5"/>
        <v>53</v>
      </c>
      <c r="S7" s="3" t="e">
        <f>C7*(1+(Assumptions!$B$19*R7/365))</f>
        <v>#N/A</v>
      </c>
      <c r="T7" s="3" t="e">
        <f t="shared" si="6"/>
        <v>#N/A</v>
      </c>
      <c r="U7" s="3" t="e">
        <f>(C7*Assumptions!$B$16)+(P7*Assumptions!$B$17)</f>
        <v>#N/A</v>
      </c>
      <c r="V7" s="3" t="e">
        <f t="shared" si="7"/>
        <v>#N/A</v>
      </c>
      <c r="W7" s="3" t="e">
        <f>C7+(P7*Assumptions!$B$15)</f>
        <v>#N/A</v>
      </c>
      <c r="X7" s="7" t="e">
        <f t="shared" si="8"/>
        <v>#N/A</v>
      </c>
      <c r="Y7" s="7" t="e">
        <f t="shared" si="9"/>
        <v>#N/A</v>
      </c>
      <c r="Z7" s="3" t="e">
        <f>IF(AND(R7&gt;0,Y7  &gt; Assumptions!$B$13), "ENTER", "DONT ENTER")</f>
        <v>#N/A</v>
      </c>
      <c r="AB7" s="3" t="e">
        <f>VLOOKUP(A7, Raw_Data_Reliance!AQ:BE, 8, FALSE)</f>
        <v>#N/A</v>
      </c>
      <c r="AC7" s="25">
        <f>Assumptions!$B$32</f>
        <v>45930</v>
      </c>
      <c r="AD7" s="3">
        <f t="shared" si="10"/>
        <v>86</v>
      </c>
      <c r="AE7" s="3" t="e">
        <f>C7*(1+(Assumptions!$B$13*AD7/365))</f>
        <v>#N/A</v>
      </c>
      <c r="AF7" s="3" t="e">
        <f t="shared" si="11"/>
        <v>#N/A</v>
      </c>
      <c r="AG7" s="3" t="e">
        <f>(C7*Assumptions!$B$16)+(AB7*Assumptions!$B$17)</f>
        <v>#N/A</v>
      </c>
      <c r="AH7" s="3" t="e">
        <f t="shared" si="12"/>
        <v>#N/A</v>
      </c>
      <c r="AI7" s="3" t="e">
        <f>C7+(AB7*Assumptions!$B$15)</f>
        <v>#N/A</v>
      </c>
      <c r="AJ7" s="7" t="e">
        <f t="shared" si="13"/>
        <v>#N/A</v>
      </c>
      <c r="AK7" s="7" t="e">
        <f t="shared" si="14"/>
        <v>#N/A</v>
      </c>
      <c r="AL7" s="3" t="e">
        <f>IF(AND(AD7&gt;0,AK7  &gt; Assumptions!$B$13), "ENTER", "DONT ENTER")</f>
        <v>#N/A</v>
      </c>
    </row>
    <row r="8" spans="1:38" x14ac:dyDescent="0.3">
      <c r="A8" s="25">
        <v>45845</v>
      </c>
      <c r="B8" s="3" t="s">
        <v>26</v>
      </c>
      <c r="C8" s="26">
        <f>VLOOKUP(A8, Raw_Data_Reliance!A:N, 8, FALSE)</f>
        <v>1541.5</v>
      </c>
      <c r="D8" s="26">
        <f>VLOOKUP(A8, Raw_Data_Reliance!O:AA, 8, FALSE)</f>
        <v>1544.5</v>
      </c>
      <c r="E8" s="25">
        <f>Assumptions!$B$30</f>
        <v>45869</v>
      </c>
      <c r="F8" s="3">
        <f t="shared" si="0"/>
        <v>24</v>
      </c>
      <c r="G8" s="3">
        <f>C8*(1+(Assumptions!$B$19*F8/365))</f>
        <v>1542.0067945205478</v>
      </c>
      <c r="H8" s="26">
        <f t="shared" si="1"/>
        <v>2.4932054794521719</v>
      </c>
      <c r="I8" s="3">
        <f>(C8*Assumptions!$B$16)+(D8*Assumptions!$B$17)</f>
        <v>1.07965</v>
      </c>
      <c r="J8" s="26">
        <f t="shared" si="2"/>
        <v>1.4135554794521719</v>
      </c>
      <c r="K8" s="26">
        <f>C8+(D8*Assumptions!$B$15)</f>
        <v>2051.1849999999999</v>
      </c>
      <c r="L8" s="7">
        <f t="shared" si="3"/>
        <v>6.8914090121182238E-4</v>
      </c>
      <c r="M8" s="27">
        <f t="shared" si="4"/>
        <v>1.0480684539263133E-2</v>
      </c>
      <c r="N8" s="28" t="str">
        <f>IF(AND(F8&gt;0, M8 &gt; Assumptions!$B$13), "ENTER", "DONT ENTER")</f>
        <v>DONT ENTER</v>
      </c>
      <c r="P8" s="26">
        <f>VLOOKUP(A8, Raw_Data_Reliance!AB:AP, 8, FALSE)</f>
        <v>1547.5</v>
      </c>
      <c r="Q8" s="25">
        <f>Assumptions!$B$31</f>
        <v>45897</v>
      </c>
      <c r="R8" s="3">
        <f t="shared" si="5"/>
        <v>52</v>
      </c>
      <c r="S8" s="3">
        <f>C8*(1+(Assumptions!$B$19*R8/365))</f>
        <v>1542.5980547945207</v>
      </c>
      <c r="T8" s="26">
        <f t="shared" si="6"/>
        <v>4.9019452054792509</v>
      </c>
      <c r="U8" s="3">
        <f>(C8*Assumptions!$B$16)+(P8*Assumptions!$B$17)</f>
        <v>1.0802499999999999</v>
      </c>
      <c r="V8" s="26">
        <f t="shared" si="7"/>
        <v>3.821695205479251</v>
      </c>
      <c r="W8" s="26">
        <f>C8+(P8*Assumptions!$B$15)</f>
        <v>2052.1750000000002</v>
      </c>
      <c r="X8" s="7">
        <f t="shared" si="8"/>
        <v>1.8622657451139648E-3</v>
      </c>
      <c r="Y8" s="27">
        <f t="shared" si="9"/>
        <v>1.3071673018588406E-2</v>
      </c>
      <c r="Z8" s="28" t="str">
        <f>IF(AND(R8&gt;0,Y8  &gt; Assumptions!$B$13), "ENTER", "DONT ENTER")</f>
        <v>DONT ENTER</v>
      </c>
      <c r="AB8" s="26">
        <f>VLOOKUP(A8, Raw_Data_Reliance!AQ:BE, 8, FALSE)</f>
        <v>1555.6</v>
      </c>
      <c r="AC8" s="25">
        <f>Assumptions!$B$32</f>
        <v>45930</v>
      </c>
      <c r="AD8" s="3">
        <f t="shared" si="10"/>
        <v>85</v>
      </c>
      <c r="AE8" s="3">
        <f>C8*(1+(Assumptions!$B$13*AD8/365))</f>
        <v>1564.6541746575342</v>
      </c>
      <c r="AF8" s="26">
        <f t="shared" si="11"/>
        <v>-9.0541746575343041</v>
      </c>
      <c r="AG8" s="3">
        <f>(C8*Assumptions!$B$16)+(AB8*Assumptions!$B$17)</f>
        <v>1.0818700000000001</v>
      </c>
      <c r="AH8" s="26">
        <f t="shared" si="12"/>
        <v>-10.136044657534304</v>
      </c>
      <c r="AI8" s="26">
        <f>C8+(AB8*Assumptions!$B$15)</f>
        <v>2054.848</v>
      </c>
      <c r="AJ8" s="7">
        <f t="shared" si="13"/>
        <v>-4.9327466837130072E-3</v>
      </c>
      <c r="AK8" s="27">
        <f t="shared" si="14"/>
        <v>-2.1181794583002914E-2</v>
      </c>
      <c r="AL8" s="28" t="str">
        <f>IF(AND(AD8&gt;0,AK8  &gt; Assumptions!$B$13), "ENTER", "DONT ENTER")</f>
        <v>DONT ENTER</v>
      </c>
    </row>
    <row r="9" spans="1:38" x14ac:dyDescent="0.3">
      <c r="A9" s="25">
        <v>45846</v>
      </c>
      <c r="B9" s="3" t="s">
        <v>26</v>
      </c>
      <c r="C9" s="26">
        <f>VLOOKUP(A9, Raw_Data_Reliance!A:N, 8, FALSE)</f>
        <v>1537.6</v>
      </c>
      <c r="D9" s="26">
        <f>VLOOKUP(A9, Raw_Data_Reliance!O:AA, 8, FALSE)</f>
        <v>1545.1</v>
      </c>
      <c r="E9" s="25">
        <f>Assumptions!$B$30</f>
        <v>45869</v>
      </c>
      <c r="F9" s="3">
        <f t="shared" si="0"/>
        <v>23</v>
      </c>
      <c r="G9" s="3">
        <f>C9*(1+(Assumptions!$B$19*F9/365))</f>
        <v>1538.0844493150685</v>
      </c>
      <c r="H9" s="26">
        <f t="shared" si="1"/>
        <v>7.0155506849314406</v>
      </c>
      <c r="I9" s="3">
        <f>(C9*Assumptions!$B$16)+(D9*Assumptions!$B$17)</f>
        <v>1.07782</v>
      </c>
      <c r="J9" s="26">
        <f t="shared" si="2"/>
        <v>5.9377306849314406</v>
      </c>
      <c r="K9" s="26">
        <f>C9+(D9*Assumptions!$B$15)</f>
        <v>2047.4829999999999</v>
      </c>
      <c r="L9" s="7">
        <f t="shared" si="3"/>
        <v>2.9000146447767531E-3</v>
      </c>
      <c r="M9" s="27">
        <f t="shared" si="4"/>
        <v>4.6021971536674561E-2</v>
      </c>
      <c r="N9" s="28" t="str">
        <f>IF(AND(F9&gt;0, M9 &gt; Assumptions!$B$13), "ENTER", "DONT ENTER")</f>
        <v>DONT ENTER</v>
      </c>
      <c r="P9" s="26">
        <f>VLOOKUP(A9, Raw_Data_Reliance!AB:AP, 8, FALSE)</f>
        <v>1547.6</v>
      </c>
      <c r="Q9" s="25">
        <f>Assumptions!$B$31</f>
        <v>45897</v>
      </c>
      <c r="R9" s="3">
        <f t="shared" si="5"/>
        <v>51</v>
      </c>
      <c r="S9" s="3">
        <f>C9*(1+(Assumptions!$B$19*R9/365))</f>
        <v>1538.67421369863</v>
      </c>
      <c r="T9" s="26">
        <f t="shared" si="6"/>
        <v>8.9257863013699534</v>
      </c>
      <c r="U9" s="3">
        <f>(C9*Assumptions!$B$16)+(P9*Assumptions!$B$17)</f>
        <v>1.0783199999999999</v>
      </c>
      <c r="V9" s="26">
        <f t="shared" si="7"/>
        <v>7.8474663013699537</v>
      </c>
      <c r="W9" s="26">
        <f>C9+(P9*Assumptions!$B$15)</f>
        <v>2048.308</v>
      </c>
      <c r="X9" s="7">
        <f t="shared" si="8"/>
        <v>3.8311944792335691E-3</v>
      </c>
      <c r="Y9" s="27">
        <f t="shared" si="9"/>
        <v>2.7419333037652014E-2</v>
      </c>
      <c r="Z9" s="28" t="str">
        <f>IF(AND(R9&gt;0,Y9  &gt; Assumptions!$B$13), "ENTER", "DONT ENTER")</f>
        <v>DONT ENTER</v>
      </c>
      <c r="AB9" s="26">
        <f>VLOOKUP(A9, Raw_Data_Reliance!AQ:BE, 8, FALSE)</f>
        <v>1556.8</v>
      </c>
      <c r="AC9" s="25">
        <f>Assumptions!$B$32</f>
        <v>45930</v>
      </c>
      <c r="AD9" s="3">
        <f t="shared" si="10"/>
        <v>84</v>
      </c>
      <c r="AE9" s="3">
        <f>C9*(1+(Assumptions!$B$13*AD9/365))</f>
        <v>1560.4238816438356</v>
      </c>
      <c r="AF9" s="26">
        <f t="shared" si="11"/>
        <v>-3.6238816438356025</v>
      </c>
      <c r="AG9" s="3">
        <f>(C9*Assumptions!$B$16)+(AB9*Assumptions!$B$17)</f>
        <v>1.08016</v>
      </c>
      <c r="AH9" s="26">
        <f t="shared" si="12"/>
        <v>-4.7040416438356027</v>
      </c>
      <c r="AI9" s="26">
        <f>C9+(AB9*Assumptions!$B$15)</f>
        <v>2051.3440000000001</v>
      </c>
      <c r="AJ9" s="7">
        <f t="shared" si="13"/>
        <v>-2.2931510482082002E-3</v>
      </c>
      <c r="AK9" s="27">
        <f t="shared" si="14"/>
        <v>-9.9642872928094404E-3</v>
      </c>
      <c r="AL9" s="28" t="str">
        <f>IF(AND(AD9&gt;0,AK9  &gt; Assumptions!$B$13), "ENTER", "DONT ENTER")</f>
        <v>DONT ENTER</v>
      </c>
    </row>
    <row r="10" spans="1:38" x14ac:dyDescent="0.3">
      <c r="A10" s="25">
        <v>45847</v>
      </c>
      <c r="B10" s="3" t="s">
        <v>26</v>
      </c>
      <c r="C10" s="26">
        <f>VLOOKUP(A10, Raw_Data_Reliance!A:N, 8, FALSE)</f>
        <v>1519</v>
      </c>
      <c r="D10" s="26">
        <f>VLOOKUP(A10, Raw_Data_Reliance!O:AA, 8, FALSE)</f>
        <v>1524.6</v>
      </c>
      <c r="E10" s="25">
        <f>Assumptions!$B$30</f>
        <v>45869</v>
      </c>
      <c r="F10" s="3">
        <f t="shared" si="0"/>
        <v>22</v>
      </c>
      <c r="G10" s="3">
        <f>C10*(1+(Assumptions!$B$19*F10/365))</f>
        <v>1519.4577808219178</v>
      </c>
      <c r="H10" s="26">
        <f t="shared" si="1"/>
        <v>5.1422191780820867</v>
      </c>
      <c r="I10" s="3">
        <f>(C10*Assumptions!$B$16)+(D10*Assumptions!$B$17)</f>
        <v>1.0644200000000001</v>
      </c>
      <c r="J10" s="26">
        <f t="shared" si="2"/>
        <v>4.0777991780820866</v>
      </c>
      <c r="K10" s="26">
        <f>C10+(D10*Assumptions!$B$15)</f>
        <v>2022.1179999999999</v>
      </c>
      <c r="L10" s="7">
        <f t="shared" si="3"/>
        <v>2.016598031411662E-3</v>
      </c>
      <c r="M10" s="27">
        <f t="shared" si="4"/>
        <v>3.3457194612057116E-2</v>
      </c>
      <c r="N10" s="28" t="str">
        <f>IF(AND(F10&gt;0, M10 &gt; Assumptions!$B$13), "ENTER", "DONT ENTER")</f>
        <v>DONT ENTER</v>
      </c>
      <c r="P10" s="26">
        <f>VLOOKUP(A10, Raw_Data_Reliance!AB:AP, 8, FALSE)</f>
        <v>1528.1</v>
      </c>
      <c r="Q10" s="25">
        <f>Assumptions!$B$31</f>
        <v>45897</v>
      </c>
      <c r="R10" s="3">
        <f t="shared" si="5"/>
        <v>50</v>
      </c>
      <c r="S10" s="3">
        <f>C10*(1+(Assumptions!$B$19*R10/365))</f>
        <v>1520.0404109589042</v>
      </c>
      <c r="T10" s="26">
        <f t="shared" si="6"/>
        <v>8.0595890410957054</v>
      </c>
      <c r="U10" s="3">
        <f>(C10*Assumptions!$B$16)+(P10*Assumptions!$B$17)</f>
        <v>1.0651200000000001</v>
      </c>
      <c r="V10" s="26">
        <f t="shared" si="7"/>
        <v>6.9944690410957051</v>
      </c>
      <c r="W10" s="26">
        <f>C10+(P10*Assumptions!$B$15)</f>
        <v>2023.2729999999999</v>
      </c>
      <c r="X10" s="7">
        <f t="shared" si="8"/>
        <v>3.4570070579183856E-3</v>
      </c>
      <c r="Y10" s="27">
        <f t="shared" si="9"/>
        <v>2.5236151522804215E-2</v>
      </c>
      <c r="Z10" s="28" t="str">
        <f>IF(AND(R10&gt;0,Y10  &gt; Assumptions!$B$13), "ENTER", "DONT ENTER")</f>
        <v>DONT ENTER</v>
      </c>
      <c r="AB10" s="26">
        <f>VLOOKUP(A10, Raw_Data_Reliance!AQ:BE, 8, FALSE)</f>
        <v>1538.1</v>
      </c>
      <c r="AC10" s="25">
        <f>Assumptions!$B$32</f>
        <v>45930</v>
      </c>
      <c r="AD10" s="3">
        <f t="shared" si="10"/>
        <v>83</v>
      </c>
      <c r="AE10" s="3">
        <f>C10*(1+(Assumptions!$B$13*AD10/365))</f>
        <v>1541.2793602739725</v>
      </c>
      <c r="AF10" s="26">
        <f t="shared" si="11"/>
        <v>-3.1793602739726339</v>
      </c>
      <c r="AG10" s="3">
        <f>(C10*Assumptions!$B$16)+(AB10*Assumptions!$B$17)</f>
        <v>1.0671200000000001</v>
      </c>
      <c r="AH10" s="26">
        <f t="shared" si="12"/>
        <v>-4.2464802739726339</v>
      </c>
      <c r="AI10" s="26">
        <f>C10+(AB10*Assumptions!$B$15)</f>
        <v>2026.5729999999999</v>
      </c>
      <c r="AJ10" s="7">
        <f t="shared" si="13"/>
        <v>-2.0953996100671599E-3</v>
      </c>
      <c r="AK10" s="27">
        <f t="shared" si="14"/>
        <v>-9.214709128608594E-3</v>
      </c>
      <c r="AL10" s="28" t="str">
        <f>IF(AND(AD10&gt;0,AK10  &gt; Assumptions!$B$13), "ENTER", "DONT ENTER")</f>
        <v>DONT ENTER</v>
      </c>
    </row>
    <row r="11" spans="1:38" x14ac:dyDescent="0.3">
      <c r="A11" s="25">
        <v>45848</v>
      </c>
      <c r="B11" s="3" t="s">
        <v>26</v>
      </c>
      <c r="C11" s="26">
        <f>VLOOKUP(A11, Raw_Data_Reliance!A:N, 8, FALSE)</f>
        <v>1517.2</v>
      </c>
      <c r="D11" s="26">
        <f>VLOOKUP(A11, Raw_Data_Reliance!O:AA, 8, FALSE)</f>
        <v>1519.7</v>
      </c>
      <c r="E11" s="25">
        <f>Assumptions!$B$30</f>
        <v>45869</v>
      </c>
      <c r="F11" s="3">
        <f t="shared" si="0"/>
        <v>21</v>
      </c>
      <c r="G11" s="3">
        <f>C11*(1+(Assumptions!$B$19*F11/365))</f>
        <v>1517.6364547945207</v>
      </c>
      <c r="H11" s="26">
        <f t="shared" si="1"/>
        <v>2.0635452054793859</v>
      </c>
      <c r="I11" s="3">
        <f>(C11*Assumptions!$B$16)+(D11*Assumptions!$B$17)</f>
        <v>1.06254</v>
      </c>
      <c r="J11" s="26">
        <f t="shared" si="2"/>
        <v>1.0010052054793859</v>
      </c>
      <c r="K11" s="26">
        <f>C11+(D11*Assumptions!$B$15)</f>
        <v>2018.701</v>
      </c>
      <c r="L11" s="7">
        <f t="shared" si="3"/>
        <v>4.9586600763529905E-4</v>
      </c>
      <c r="M11" s="27">
        <f t="shared" si="4"/>
        <v>8.6186234660421013E-3</v>
      </c>
      <c r="N11" s="28" t="str">
        <f>IF(AND(F11&gt;0, M11 &gt; Assumptions!$B$13), "ENTER", "DONT ENTER")</f>
        <v>DONT ENTER</v>
      </c>
      <c r="P11" s="26">
        <f>VLOOKUP(A11, Raw_Data_Reliance!AB:AP, 8, FALSE)</f>
        <v>1522.5</v>
      </c>
      <c r="Q11" s="25">
        <f>Assumptions!$B$31</f>
        <v>45897</v>
      </c>
      <c r="R11" s="3">
        <f t="shared" si="5"/>
        <v>49</v>
      </c>
      <c r="S11" s="3">
        <f>C11*(1+(Assumptions!$B$19*R11/365))</f>
        <v>1518.2183945205479</v>
      </c>
      <c r="T11" s="26">
        <f t="shared" si="6"/>
        <v>4.2816054794520824</v>
      </c>
      <c r="U11" s="3">
        <f>(C11*Assumptions!$B$16)+(P11*Assumptions!$B$17)</f>
        <v>1.0630999999999999</v>
      </c>
      <c r="V11" s="26">
        <f t="shared" si="7"/>
        <v>3.2185054794520824</v>
      </c>
      <c r="W11" s="26">
        <f>C11+(P11*Assumptions!$B$15)</f>
        <v>2019.625</v>
      </c>
      <c r="X11" s="7">
        <f t="shared" si="8"/>
        <v>1.5936153887241851E-3</v>
      </c>
      <c r="Y11" s="27">
        <f t="shared" si="9"/>
        <v>1.187080850784342E-2</v>
      </c>
      <c r="Z11" s="28" t="str">
        <f>IF(AND(R11&gt;0,Y11  &gt; Assumptions!$B$13), "ENTER", "DONT ENTER")</f>
        <v>DONT ENTER</v>
      </c>
      <c r="AB11" s="26">
        <f>VLOOKUP(A11, Raw_Data_Reliance!AQ:BE, 8, FALSE)</f>
        <v>1532.1</v>
      </c>
      <c r="AC11" s="25">
        <f>Assumptions!$B$32</f>
        <v>45930</v>
      </c>
      <c r="AD11" s="3">
        <f t="shared" si="10"/>
        <v>82</v>
      </c>
      <c r="AE11" s="3">
        <f>C11*(1+(Assumptions!$B$13*AD11/365))</f>
        <v>1539.1848515068493</v>
      </c>
      <c r="AF11" s="26">
        <f t="shared" si="11"/>
        <v>-7.084851506849418</v>
      </c>
      <c r="AG11" s="3">
        <f>(C11*Assumptions!$B$16)+(AB11*Assumptions!$B$17)</f>
        <v>1.0650200000000001</v>
      </c>
      <c r="AH11" s="26">
        <f t="shared" si="12"/>
        <v>-8.1498715068494185</v>
      </c>
      <c r="AI11" s="26">
        <f>C11+(AB11*Assumptions!$B$15)</f>
        <v>2022.7930000000001</v>
      </c>
      <c r="AJ11" s="7">
        <f t="shared" si="13"/>
        <v>-4.0290190379586137E-3</v>
      </c>
      <c r="AK11" s="27">
        <f t="shared" si="14"/>
        <v>-1.7934048156767E-2</v>
      </c>
      <c r="AL11" s="28" t="str">
        <f>IF(AND(AD11&gt;0,AK11  &gt; Assumptions!$B$13), "ENTER", "DONT ENTER")</f>
        <v>DONT ENTER</v>
      </c>
    </row>
    <row r="12" spans="1:38" x14ac:dyDescent="0.3">
      <c r="A12" s="25">
        <v>45849</v>
      </c>
      <c r="B12" s="3" t="s">
        <v>26</v>
      </c>
      <c r="C12" s="26">
        <f>VLOOKUP(A12, Raw_Data_Reliance!A:N, 8, FALSE)</f>
        <v>1495.2</v>
      </c>
      <c r="D12" s="26">
        <f>VLOOKUP(A12, Raw_Data_Reliance!O:AA, 8, FALSE)</f>
        <v>1500.7</v>
      </c>
      <c r="E12" s="25">
        <f>Assumptions!$B$30</f>
        <v>45869</v>
      </c>
      <c r="F12" s="3">
        <f t="shared" si="0"/>
        <v>20</v>
      </c>
      <c r="G12" s="3">
        <f>C12*(1+(Assumptions!$B$19*F12/365))</f>
        <v>1495.6096438356165</v>
      </c>
      <c r="H12" s="26">
        <f t="shared" si="1"/>
        <v>5.0903561643835928</v>
      </c>
      <c r="I12" s="3">
        <f>(C12*Assumptions!$B$16)+(D12*Assumptions!$B$17)</f>
        <v>1.0477400000000001</v>
      </c>
      <c r="J12" s="26">
        <f t="shared" si="2"/>
        <v>4.0426161643835927</v>
      </c>
      <c r="K12" s="26">
        <f>C12+(D12*Assumptions!$B$15)</f>
        <v>1990.431</v>
      </c>
      <c r="L12" s="7">
        <f t="shared" si="3"/>
        <v>2.0310255238104673E-3</v>
      </c>
      <c r="M12" s="27">
        <f t="shared" si="4"/>
        <v>3.7066215809541031E-2</v>
      </c>
      <c r="N12" s="28" t="str">
        <f>IF(AND(F12&gt;0, M12 &gt; Assumptions!$B$13), "ENTER", "DONT ENTER")</f>
        <v>DONT ENTER</v>
      </c>
      <c r="P12" s="26">
        <f>VLOOKUP(A12, Raw_Data_Reliance!AB:AP, 8, FALSE)</f>
        <v>1503.3</v>
      </c>
      <c r="Q12" s="25">
        <f>Assumptions!$B$31</f>
        <v>45897</v>
      </c>
      <c r="R12" s="3">
        <f t="shared" si="5"/>
        <v>48</v>
      </c>
      <c r="S12" s="3">
        <f>C12*(1+(Assumptions!$B$19*R12/365))</f>
        <v>1496.1831452054794</v>
      </c>
      <c r="T12" s="26">
        <f t="shared" si="6"/>
        <v>7.1168547945205773</v>
      </c>
      <c r="U12" s="3">
        <f>(C12*Assumptions!$B$16)+(P12*Assumptions!$B$17)</f>
        <v>1.04826</v>
      </c>
      <c r="V12" s="26">
        <f t="shared" si="7"/>
        <v>6.0685947945205774</v>
      </c>
      <c r="W12" s="26">
        <f>C12+(P12*Assumptions!$B$15)</f>
        <v>1991.289</v>
      </c>
      <c r="X12" s="7">
        <f t="shared" si="8"/>
        <v>3.0475710931565322E-3</v>
      </c>
      <c r="Y12" s="27">
        <f t="shared" si="9"/>
        <v>2.3174238520877799E-2</v>
      </c>
      <c r="Z12" s="28" t="str">
        <f>IF(AND(R12&gt;0,Y12  &gt; Assumptions!$B$13), "ENTER", "DONT ENTER")</f>
        <v>DONT ENTER</v>
      </c>
      <c r="AB12" s="26">
        <f>VLOOKUP(A12, Raw_Data_Reliance!AQ:BE, 8, FALSE)</f>
        <v>1512.2</v>
      </c>
      <c r="AC12" s="25">
        <f>Assumptions!$B$32</f>
        <v>45930</v>
      </c>
      <c r="AD12" s="3">
        <f t="shared" si="10"/>
        <v>81</v>
      </c>
      <c r="AE12" s="3">
        <f>C12*(1+(Assumptions!$B$13*AD12/365))</f>
        <v>1516.6018421917811</v>
      </c>
      <c r="AF12" s="26">
        <f t="shared" si="11"/>
        <v>-4.4018421917810429</v>
      </c>
      <c r="AG12" s="3">
        <f>(C12*Assumptions!$B$16)+(AB12*Assumptions!$B$17)</f>
        <v>1.0500400000000001</v>
      </c>
      <c r="AH12" s="26">
        <f t="shared" si="12"/>
        <v>-5.4518821917810429</v>
      </c>
      <c r="AI12" s="26">
        <f>C12+(AB12*Assumptions!$B$15)</f>
        <v>1994.2260000000001</v>
      </c>
      <c r="AJ12" s="7">
        <f t="shared" si="13"/>
        <v>-2.7338336737065122E-3</v>
      </c>
      <c r="AK12" s="27">
        <f t="shared" si="14"/>
        <v>-1.2319127048183665E-2</v>
      </c>
      <c r="AL12" s="28" t="str">
        <f>IF(AND(AD12&gt;0,AK12  &gt; Assumptions!$B$13), "ENTER", "DONT ENTER")</f>
        <v>DONT ENTER</v>
      </c>
    </row>
    <row r="13" spans="1:38" x14ac:dyDescent="0.3">
      <c r="A13" s="25">
        <v>45850</v>
      </c>
      <c r="B13" s="3" t="s">
        <v>26</v>
      </c>
      <c r="C13" s="3" t="e">
        <f>VLOOKUP(A13, Raw_Data_Reliance!A:N, 8, FALSE)</f>
        <v>#N/A</v>
      </c>
      <c r="D13" s="3" t="e">
        <f>VLOOKUP(A13, Raw_Data_Reliance!O:AA, 8, FALSE)</f>
        <v>#N/A</v>
      </c>
      <c r="E13" s="25">
        <f>Assumptions!$B$30</f>
        <v>45869</v>
      </c>
      <c r="F13" s="3">
        <f t="shared" si="0"/>
        <v>19</v>
      </c>
      <c r="G13" s="3" t="e">
        <f>C13*(1+(Assumptions!$B$19*F13/365))</f>
        <v>#N/A</v>
      </c>
      <c r="H13" s="3" t="e">
        <f t="shared" si="1"/>
        <v>#N/A</v>
      </c>
      <c r="I13" s="3" t="e">
        <f>(C13*Assumptions!$B$16)+(D13*Assumptions!$B$17)</f>
        <v>#N/A</v>
      </c>
      <c r="J13" s="3" t="e">
        <f t="shared" si="2"/>
        <v>#N/A</v>
      </c>
      <c r="K13" s="3" t="e">
        <f>C13+(D13*Assumptions!$B$15)</f>
        <v>#N/A</v>
      </c>
      <c r="L13" s="7" t="e">
        <f t="shared" si="3"/>
        <v>#N/A</v>
      </c>
      <c r="M13" s="7" t="e">
        <f t="shared" si="4"/>
        <v>#N/A</v>
      </c>
      <c r="N13" s="3" t="e">
        <f>IF(AND(F13&gt;0, M13 &gt; Assumptions!$B$13), "ENTER", "DONT ENTER")</f>
        <v>#N/A</v>
      </c>
      <c r="P13" s="3" t="e">
        <f>VLOOKUP(A13, Raw_Data_Reliance!AB:AP, 8, FALSE)</f>
        <v>#N/A</v>
      </c>
      <c r="Q13" s="25">
        <f>Assumptions!$B$31</f>
        <v>45897</v>
      </c>
      <c r="R13" s="3">
        <f t="shared" si="5"/>
        <v>47</v>
      </c>
      <c r="S13" s="3" t="e">
        <f>C13*(1+(Assumptions!$B$19*R13/365))</f>
        <v>#N/A</v>
      </c>
      <c r="T13" s="3" t="e">
        <f t="shared" si="6"/>
        <v>#N/A</v>
      </c>
      <c r="U13" s="3" t="e">
        <f>(C13*Assumptions!$B$16)+(P13*Assumptions!$B$17)</f>
        <v>#N/A</v>
      </c>
      <c r="V13" s="3" t="e">
        <f t="shared" si="7"/>
        <v>#N/A</v>
      </c>
      <c r="W13" s="3" t="e">
        <f>C13+(P13*Assumptions!$B$15)</f>
        <v>#N/A</v>
      </c>
      <c r="X13" s="7" t="e">
        <f t="shared" si="8"/>
        <v>#N/A</v>
      </c>
      <c r="Y13" s="7" t="e">
        <f t="shared" si="9"/>
        <v>#N/A</v>
      </c>
      <c r="Z13" s="3" t="e">
        <f>IF(AND(R13&gt;0,Y13  &gt; Assumptions!$B$13), "ENTER", "DONT ENTER")</f>
        <v>#N/A</v>
      </c>
      <c r="AB13" s="3" t="e">
        <f>VLOOKUP(A13, Raw_Data_Reliance!AQ:BE, 8, FALSE)</f>
        <v>#N/A</v>
      </c>
      <c r="AC13" s="25">
        <f>Assumptions!$B$32</f>
        <v>45930</v>
      </c>
      <c r="AD13" s="3">
        <f t="shared" si="10"/>
        <v>80</v>
      </c>
      <c r="AE13" s="3" t="e">
        <f>C13*(1+(Assumptions!$B$13*AD13/365))</f>
        <v>#N/A</v>
      </c>
      <c r="AF13" s="3" t="e">
        <f t="shared" si="11"/>
        <v>#N/A</v>
      </c>
      <c r="AG13" s="3" t="e">
        <f>(C13*Assumptions!$B$16)+(AB13*Assumptions!$B$17)</f>
        <v>#N/A</v>
      </c>
      <c r="AH13" s="3" t="e">
        <f t="shared" si="12"/>
        <v>#N/A</v>
      </c>
      <c r="AI13" s="3" t="e">
        <f>C13+(AB13*Assumptions!$B$15)</f>
        <v>#N/A</v>
      </c>
      <c r="AJ13" s="7" t="e">
        <f t="shared" si="13"/>
        <v>#N/A</v>
      </c>
      <c r="AK13" s="7" t="e">
        <f t="shared" si="14"/>
        <v>#N/A</v>
      </c>
      <c r="AL13" s="3" t="e">
        <f>IF(AND(AD13&gt;0,AK13  &gt; Assumptions!$B$13), "ENTER", "DONT ENTER")</f>
        <v>#N/A</v>
      </c>
    </row>
    <row r="14" spans="1:38" x14ac:dyDescent="0.3">
      <c r="A14" s="25">
        <v>45851</v>
      </c>
      <c r="B14" s="3" t="s">
        <v>26</v>
      </c>
      <c r="C14" s="3" t="e">
        <f>VLOOKUP(A14, Raw_Data_Reliance!A:N, 8, FALSE)</f>
        <v>#N/A</v>
      </c>
      <c r="D14" s="3" t="e">
        <f>VLOOKUP(A14, Raw_Data_Reliance!O:AA, 8, FALSE)</f>
        <v>#N/A</v>
      </c>
      <c r="E14" s="25">
        <f>Assumptions!$B$30</f>
        <v>45869</v>
      </c>
      <c r="F14" s="3">
        <f t="shared" si="0"/>
        <v>18</v>
      </c>
      <c r="G14" s="3" t="e">
        <f>C14*(1+(Assumptions!$B$19*F14/365))</f>
        <v>#N/A</v>
      </c>
      <c r="H14" s="3" t="e">
        <f t="shared" si="1"/>
        <v>#N/A</v>
      </c>
      <c r="I14" s="3" t="e">
        <f>(C14*Assumptions!$B$16)+(D14*Assumptions!$B$17)</f>
        <v>#N/A</v>
      </c>
      <c r="J14" s="3" t="e">
        <f t="shared" si="2"/>
        <v>#N/A</v>
      </c>
      <c r="K14" s="3" t="e">
        <f>C14+(D14*Assumptions!$B$15)</f>
        <v>#N/A</v>
      </c>
      <c r="L14" s="7" t="e">
        <f t="shared" si="3"/>
        <v>#N/A</v>
      </c>
      <c r="M14" s="7" t="e">
        <f t="shared" si="4"/>
        <v>#N/A</v>
      </c>
      <c r="N14" s="3" t="e">
        <f>IF(AND(F14&gt;0, M14 &gt; Assumptions!$B$13), "ENTER", "DONT ENTER")</f>
        <v>#N/A</v>
      </c>
      <c r="P14" s="3" t="e">
        <f>VLOOKUP(A14, Raw_Data_Reliance!AB:AP, 8, FALSE)</f>
        <v>#N/A</v>
      </c>
      <c r="Q14" s="25">
        <f>Assumptions!$B$31</f>
        <v>45897</v>
      </c>
      <c r="R14" s="3">
        <f t="shared" si="5"/>
        <v>46</v>
      </c>
      <c r="S14" s="3" t="e">
        <f>C14*(1+(Assumptions!$B$19*R14/365))</f>
        <v>#N/A</v>
      </c>
      <c r="T14" s="3" t="e">
        <f t="shared" si="6"/>
        <v>#N/A</v>
      </c>
      <c r="U14" s="3" t="e">
        <f>(C14*Assumptions!$B$16)+(P14*Assumptions!$B$17)</f>
        <v>#N/A</v>
      </c>
      <c r="V14" s="3" t="e">
        <f t="shared" si="7"/>
        <v>#N/A</v>
      </c>
      <c r="W14" s="3" t="e">
        <f>C14+(P14*Assumptions!$B$15)</f>
        <v>#N/A</v>
      </c>
      <c r="X14" s="7" t="e">
        <f t="shared" si="8"/>
        <v>#N/A</v>
      </c>
      <c r="Y14" s="7" t="e">
        <f t="shared" si="9"/>
        <v>#N/A</v>
      </c>
      <c r="Z14" s="3" t="e">
        <f>IF(AND(R14&gt;0,Y14  &gt; Assumptions!$B$13), "ENTER", "DONT ENTER")</f>
        <v>#N/A</v>
      </c>
      <c r="AB14" s="3" t="e">
        <f>VLOOKUP(A14, Raw_Data_Reliance!AQ:BE, 8, FALSE)</f>
        <v>#N/A</v>
      </c>
      <c r="AC14" s="25">
        <f>Assumptions!$B$32</f>
        <v>45930</v>
      </c>
      <c r="AD14" s="3">
        <f t="shared" si="10"/>
        <v>79</v>
      </c>
      <c r="AE14" s="3" t="e">
        <f>C14*(1+(Assumptions!$B$13*AD14/365))</f>
        <v>#N/A</v>
      </c>
      <c r="AF14" s="3" t="e">
        <f t="shared" si="11"/>
        <v>#N/A</v>
      </c>
      <c r="AG14" s="3" t="e">
        <f>(C14*Assumptions!$B$16)+(AB14*Assumptions!$B$17)</f>
        <v>#N/A</v>
      </c>
      <c r="AH14" s="3" t="e">
        <f t="shared" si="12"/>
        <v>#N/A</v>
      </c>
      <c r="AI14" s="3" t="e">
        <f>C14+(AB14*Assumptions!$B$15)</f>
        <v>#N/A</v>
      </c>
      <c r="AJ14" s="7" t="e">
        <f t="shared" si="13"/>
        <v>#N/A</v>
      </c>
      <c r="AK14" s="7" t="e">
        <f t="shared" si="14"/>
        <v>#N/A</v>
      </c>
      <c r="AL14" s="3" t="e">
        <f>IF(AND(AD14&gt;0,AK14  &gt; Assumptions!$B$13), "ENTER", "DONT ENTER")</f>
        <v>#N/A</v>
      </c>
    </row>
    <row r="15" spans="1:38" x14ac:dyDescent="0.3">
      <c r="A15" s="25">
        <v>45852</v>
      </c>
      <c r="B15" s="3" t="s">
        <v>26</v>
      </c>
      <c r="C15" s="26">
        <f>VLOOKUP(A15, Raw_Data_Reliance!A:N, 8, FALSE)</f>
        <v>1483.7</v>
      </c>
      <c r="D15" s="26">
        <f>VLOOKUP(A15, Raw_Data_Reliance!O:AA, 8, FALSE)</f>
        <v>1488.8</v>
      </c>
      <c r="E15" s="25">
        <f>Assumptions!$B$30</f>
        <v>45869</v>
      </c>
      <c r="F15" s="3">
        <f t="shared" si="0"/>
        <v>17</v>
      </c>
      <c r="G15" s="3">
        <f>C15*(1+(Assumptions!$B$19*F15/365))</f>
        <v>1484.0455191780823</v>
      </c>
      <c r="H15" s="26">
        <f t="shared" si="1"/>
        <v>4.7544808219176957</v>
      </c>
      <c r="I15" s="3">
        <f>(C15*Assumptions!$B$16)+(D15*Assumptions!$B$17)</f>
        <v>1.0396100000000001</v>
      </c>
      <c r="J15" s="26">
        <f t="shared" si="2"/>
        <v>3.7148708219176956</v>
      </c>
      <c r="K15" s="26">
        <f>C15+(D15*Assumptions!$B$15)</f>
        <v>1975.0040000000001</v>
      </c>
      <c r="L15" s="7">
        <f t="shared" si="3"/>
        <v>1.8809434420981909E-3</v>
      </c>
      <c r="M15" s="27">
        <f t="shared" si="4"/>
        <v>4.0384962139167035E-2</v>
      </c>
      <c r="N15" s="28" t="str">
        <f>IF(AND(F15&gt;0, M15 &gt; Assumptions!$B$13), "ENTER", "DONT ENTER")</f>
        <v>DONT ENTER</v>
      </c>
      <c r="P15" s="26">
        <f>VLOOKUP(A15, Raw_Data_Reliance!AB:AP, 8, FALSE)</f>
        <v>1492.1</v>
      </c>
      <c r="Q15" s="25">
        <f>Assumptions!$B$31</f>
        <v>45897</v>
      </c>
      <c r="R15" s="3">
        <f t="shared" si="5"/>
        <v>45</v>
      </c>
      <c r="S15" s="3">
        <f>C15*(1+(Assumptions!$B$19*R15/365))</f>
        <v>1484.6146095890413</v>
      </c>
      <c r="T15" s="26">
        <f t="shared" si="6"/>
        <v>7.4853904109586438</v>
      </c>
      <c r="U15" s="3">
        <f>(C15*Assumptions!$B$16)+(P15*Assumptions!$B$17)</f>
        <v>1.04027</v>
      </c>
      <c r="V15" s="26">
        <f t="shared" si="7"/>
        <v>6.4451204109586442</v>
      </c>
      <c r="W15" s="26">
        <f>C15+(P15*Assumptions!$B$15)</f>
        <v>1976.0930000000001</v>
      </c>
      <c r="X15" s="7">
        <f t="shared" si="8"/>
        <v>3.2615471088448993E-3</v>
      </c>
      <c r="Y15" s="27">
        <f t="shared" si="9"/>
        <v>2.6454770993964181E-2</v>
      </c>
      <c r="Z15" s="28" t="str">
        <f>IF(AND(R15&gt;0,Y15  &gt; Assumptions!$B$13), "ENTER", "DONT ENTER")</f>
        <v>DONT ENTER</v>
      </c>
      <c r="AB15" s="26">
        <f>VLOOKUP(A15, Raw_Data_Reliance!AQ:BE, 8, FALSE)</f>
        <v>1501.4</v>
      </c>
      <c r="AC15" s="25">
        <f>Assumptions!$B$32</f>
        <v>45930</v>
      </c>
      <c r="AD15" s="3">
        <f t="shared" si="10"/>
        <v>78</v>
      </c>
      <c r="AE15" s="3">
        <f>C15*(1+(Assumptions!$B$13*AD15/365))</f>
        <v>1504.1506704109588</v>
      </c>
      <c r="AF15" s="26">
        <f t="shared" si="11"/>
        <v>-2.750670410958719</v>
      </c>
      <c r="AG15" s="3">
        <f>(C15*Assumptions!$B$16)+(AB15*Assumptions!$B$17)</f>
        <v>1.04213</v>
      </c>
      <c r="AH15" s="26">
        <f t="shared" si="12"/>
        <v>-3.7928004109587192</v>
      </c>
      <c r="AI15" s="26">
        <f>C15+(AB15*Assumptions!$B$15)</f>
        <v>1979.162</v>
      </c>
      <c r="AJ15" s="7">
        <f t="shared" si="13"/>
        <v>-1.916366831496724E-3</v>
      </c>
      <c r="AK15" s="27">
        <f t="shared" si="14"/>
        <v>-8.967614019183388E-3</v>
      </c>
      <c r="AL15" s="28" t="str">
        <f>IF(AND(AD15&gt;0,AK15  &gt; Assumptions!$B$13), "ENTER", "DONT ENTER")</f>
        <v>DONT ENTER</v>
      </c>
    </row>
    <row r="16" spans="1:38" x14ac:dyDescent="0.3">
      <c r="A16" s="25">
        <v>45853</v>
      </c>
      <c r="B16" s="3" t="s">
        <v>26</v>
      </c>
      <c r="C16" s="26">
        <f>VLOOKUP(A16, Raw_Data_Reliance!A:N, 8, FALSE)</f>
        <v>1485.4</v>
      </c>
      <c r="D16" s="26">
        <f>VLOOKUP(A16, Raw_Data_Reliance!O:AA, 8, FALSE)</f>
        <v>1491</v>
      </c>
      <c r="E16" s="25">
        <f>Assumptions!$B$30</f>
        <v>45869</v>
      </c>
      <c r="F16" s="3">
        <f t="shared" si="0"/>
        <v>16</v>
      </c>
      <c r="G16" s="3">
        <f>C16*(1+(Assumptions!$B$19*F16/365))</f>
        <v>1485.7255671232879</v>
      </c>
      <c r="H16" s="26">
        <f t="shared" si="1"/>
        <v>5.274432876712126</v>
      </c>
      <c r="I16" s="3">
        <f>(C16*Assumptions!$B$16)+(D16*Assumptions!$B$17)</f>
        <v>1.0409000000000002</v>
      </c>
      <c r="J16" s="26">
        <f t="shared" si="2"/>
        <v>4.2335328767121254</v>
      </c>
      <c r="K16" s="26">
        <f>C16+(D16*Assumptions!$B$15)</f>
        <v>1977.43</v>
      </c>
      <c r="L16" s="7">
        <f t="shared" si="3"/>
        <v>2.1409267972631778E-3</v>
      </c>
      <c r="M16" s="27">
        <f t="shared" si="4"/>
        <v>4.8839892562566246E-2</v>
      </c>
      <c r="N16" s="28" t="str">
        <f>IF(AND(F16&gt;0, M16 &gt; Assumptions!$B$13), "ENTER", "DONT ENTER")</f>
        <v>DONT ENTER</v>
      </c>
      <c r="P16" s="26">
        <f>VLOOKUP(A16, Raw_Data_Reliance!AB:AP, 8, FALSE)</f>
        <v>1492.2</v>
      </c>
      <c r="Q16" s="25">
        <f>Assumptions!$B$31</f>
        <v>45897</v>
      </c>
      <c r="R16" s="3">
        <f t="shared" si="5"/>
        <v>44</v>
      </c>
      <c r="S16" s="3">
        <f>C16*(1+(Assumptions!$B$19*R16/365))</f>
        <v>1486.2953095890412</v>
      </c>
      <c r="T16" s="26">
        <f t="shared" si="6"/>
        <v>5.9046904109588922</v>
      </c>
      <c r="U16" s="3">
        <f>(C16*Assumptions!$B$16)+(P16*Assumptions!$B$17)</f>
        <v>1.04114</v>
      </c>
      <c r="V16" s="26">
        <f t="shared" si="7"/>
        <v>4.8635504109588918</v>
      </c>
      <c r="W16" s="26">
        <f>C16+(P16*Assumptions!$B$15)</f>
        <v>1977.826</v>
      </c>
      <c r="X16" s="7">
        <f t="shared" si="8"/>
        <v>2.4590385660613681E-3</v>
      </c>
      <c r="Y16" s="27">
        <f t="shared" si="9"/>
        <v>2.0398842650281801E-2</v>
      </c>
      <c r="Z16" s="28" t="str">
        <f>IF(AND(R16&gt;0,Y16  &gt; Assumptions!$B$13), "ENTER", "DONT ENTER")</f>
        <v>DONT ENTER</v>
      </c>
      <c r="AB16" s="26">
        <f>VLOOKUP(A16, Raw_Data_Reliance!AQ:BE, 8, FALSE)</f>
        <v>1502.3</v>
      </c>
      <c r="AC16" s="25">
        <f>Assumptions!$B$32</f>
        <v>45930</v>
      </c>
      <c r="AD16" s="3">
        <f t="shared" si="10"/>
        <v>77</v>
      </c>
      <c r="AE16" s="3">
        <f>C16*(1+(Assumptions!$B$13*AD16/365))</f>
        <v>1505.6116139726028</v>
      </c>
      <c r="AF16" s="26">
        <f t="shared" si="11"/>
        <v>-3.3116139726027995</v>
      </c>
      <c r="AG16" s="3">
        <f>(C16*Assumptions!$B$16)+(AB16*Assumptions!$B$17)</f>
        <v>1.0431600000000001</v>
      </c>
      <c r="AH16" s="26">
        <f t="shared" si="12"/>
        <v>-4.3547739726027999</v>
      </c>
      <c r="AI16" s="26">
        <f>C16+(AB16*Assumptions!$B$15)</f>
        <v>1981.1590000000001</v>
      </c>
      <c r="AJ16" s="7">
        <f t="shared" si="13"/>
        <v>-2.1980941320725897E-3</v>
      </c>
      <c r="AK16" s="27">
        <f t="shared" si="14"/>
        <v>-1.0419537119564873E-2</v>
      </c>
      <c r="AL16" s="28" t="str">
        <f>IF(AND(AD16&gt;0,AK16  &gt; Assumptions!$B$13), "ENTER", "DONT ENTER")</f>
        <v>DONT ENTER</v>
      </c>
    </row>
    <row r="17" spans="1:38" x14ac:dyDescent="0.3">
      <c r="A17" s="25">
        <v>45854</v>
      </c>
      <c r="B17" s="3" t="s">
        <v>26</v>
      </c>
      <c r="C17" s="26">
        <f>VLOOKUP(A17, Raw_Data_Reliance!A:N, 8, FALSE)</f>
        <v>1485.6</v>
      </c>
      <c r="D17" s="26">
        <f>VLOOKUP(A17, Raw_Data_Reliance!O:AA, 8, FALSE)</f>
        <v>1489.4</v>
      </c>
      <c r="E17" s="25">
        <f>Assumptions!$B$30</f>
        <v>45869</v>
      </c>
      <c r="F17" s="3">
        <f t="shared" si="0"/>
        <v>15</v>
      </c>
      <c r="G17" s="3">
        <f>C17*(1+(Assumptions!$B$19*F17/365))</f>
        <v>1485.9052602739723</v>
      </c>
      <c r="H17" s="26">
        <f t="shared" si="1"/>
        <v>3.4947397260277739</v>
      </c>
      <c r="I17" s="3">
        <f>(C17*Assumptions!$B$16)+(D17*Assumptions!$B$17)</f>
        <v>1.04068</v>
      </c>
      <c r="J17" s="26">
        <f t="shared" si="2"/>
        <v>2.4540597260277739</v>
      </c>
      <c r="K17" s="26">
        <f>C17+(D17*Assumptions!$B$15)</f>
        <v>1977.1019999999999</v>
      </c>
      <c r="L17" s="7">
        <f t="shared" si="3"/>
        <v>1.2412408292681784E-3</v>
      </c>
      <c r="M17" s="27">
        <f t="shared" si="4"/>
        <v>3.0203526845525675E-2</v>
      </c>
      <c r="N17" s="28" t="str">
        <f>IF(AND(F17&gt;0, M17 &gt; Assumptions!$B$13), "ENTER", "DONT ENTER")</f>
        <v>DONT ENTER</v>
      </c>
      <c r="P17" s="26">
        <f>VLOOKUP(A17, Raw_Data_Reliance!AB:AP, 8, FALSE)</f>
        <v>1491.8</v>
      </c>
      <c r="Q17" s="25">
        <f>Assumptions!$B$31</f>
        <v>45897</v>
      </c>
      <c r="R17" s="3">
        <f t="shared" si="5"/>
        <v>43</v>
      </c>
      <c r="S17" s="3">
        <f>C17*(1+(Assumptions!$B$19*R17/365))</f>
        <v>1486.4750794520546</v>
      </c>
      <c r="T17" s="26">
        <f t="shared" si="6"/>
        <v>5.3249205479453394</v>
      </c>
      <c r="U17" s="3">
        <f>(C17*Assumptions!$B$16)+(P17*Assumptions!$B$17)</f>
        <v>1.0411600000000001</v>
      </c>
      <c r="V17" s="26">
        <f t="shared" si="7"/>
        <v>4.2837605479453398</v>
      </c>
      <c r="W17" s="26">
        <f>C17+(P17*Assumptions!$B$15)</f>
        <v>1977.8939999999998</v>
      </c>
      <c r="X17" s="7">
        <f t="shared" si="8"/>
        <v>2.1658190721774474E-3</v>
      </c>
      <c r="Y17" s="27">
        <f t="shared" si="9"/>
        <v>1.8384278170808566E-2</v>
      </c>
      <c r="Z17" s="28" t="str">
        <f>IF(AND(R17&gt;0,Y17  &gt; Assumptions!$B$13), "ENTER", "DONT ENTER")</f>
        <v>DONT ENTER</v>
      </c>
      <c r="AB17" s="26">
        <f>VLOOKUP(A17, Raw_Data_Reliance!AQ:BE, 8, FALSE)</f>
        <v>1501</v>
      </c>
      <c r="AC17" s="25">
        <f>Assumptions!$B$32</f>
        <v>45930</v>
      </c>
      <c r="AD17" s="3">
        <f t="shared" si="10"/>
        <v>76</v>
      </c>
      <c r="AE17" s="3">
        <f>C17*(1+(Assumptions!$B$13*AD17/365))</f>
        <v>1505.5518115068494</v>
      </c>
      <c r="AF17" s="26">
        <f t="shared" si="11"/>
        <v>-4.5518115068493898</v>
      </c>
      <c r="AG17" s="3">
        <f>(C17*Assumptions!$B$16)+(AB17*Assumptions!$B$17)</f>
        <v>1.0430000000000001</v>
      </c>
      <c r="AH17" s="26">
        <f t="shared" si="12"/>
        <v>-5.59481150684939</v>
      </c>
      <c r="AI17" s="26">
        <f>C17+(AB17*Assumptions!$B$15)</f>
        <v>1980.9299999999998</v>
      </c>
      <c r="AJ17" s="7">
        <f t="shared" si="13"/>
        <v>-2.8243357952322345E-3</v>
      </c>
      <c r="AK17" s="27">
        <f t="shared" si="14"/>
        <v>-1.3564244279733757E-2</v>
      </c>
      <c r="AL17" s="28" t="str">
        <f>IF(AND(AD17&gt;0,AK17  &gt; Assumptions!$B$13), "ENTER", "DONT ENTER")</f>
        <v>DONT ENTER</v>
      </c>
    </row>
    <row r="18" spans="1:38" x14ac:dyDescent="0.3">
      <c r="A18" s="25">
        <v>45855</v>
      </c>
      <c r="B18" s="3" t="s">
        <v>26</v>
      </c>
      <c r="C18" s="26">
        <f>VLOOKUP(A18, Raw_Data_Reliance!A:N, 8, FALSE)</f>
        <v>1476.4</v>
      </c>
      <c r="D18" s="26">
        <f>VLOOKUP(A18, Raw_Data_Reliance!O:AA, 8, FALSE)</f>
        <v>1482.6</v>
      </c>
      <c r="E18" s="25">
        <f>Assumptions!$B$30</f>
        <v>45869</v>
      </c>
      <c r="F18" s="3">
        <f t="shared" si="0"/>
        <v>14</v>
      </c>
      <c r="G18" s="3">
        <f>C18*(1+(Assumptions!$B$19*F18/365))</f>
        <v>1476.6831452054796</v>
      </c>
      <c r="H18" s="26">
        <f t="shared" si="1"/>
        <v>5.9168547945203045</v>
      </c>
      <c r="I18" s="3">
        <f>(C18*Assumptions!$B$16)+(D18*Assumptions!$B$17)</f>
        <v>1.0347200000000001</v>
      </c>
      <c r="J18" s="26">
        <f t="shared" si="2"/>
        <v>4.8821347945203044</v>
      </c>
      <c r="K18" s="26">
        <f>C18+(D18*Assumptions!$B$15)</f>
        <v>1965.6580000000001</v>
      </c>
      <c r="L18" s="7">
        <f t="shared" si="3"/>
        <v>2.4837152721990823E-3</v>
      </c>
      <c r="M18" s="29">
        <f t="shared" si="4"/>
        <v>6.4754005310904653E-2</v>
      </c>
      <c r="N18" s="30" t="str">
        <f>IF(AND(F18&gt;0, M18 &gt; Assumptions!$B$13), "ENTER", "DONT ENTER")</f>
        <v>ENTER</v>
      </c>
      <c r="O18" s="31"/>
      <c r="P18" s="32">
        <f>VLOOKUP(A18, Raw_Data_Reliance!AB:AP, 8, FALSE)</f>
        <v>1484.5</v>
      </c>
      <c r="Q18" s="25">
        <f>Assumptions!$B$31</f>
        <v>45897</v>
      </c>
      <c r="R18" s="3">
        <f t="shared" si="5"/>
        <v>42</v>
      </c>
      <c r="S18" s="33">
        <f>C18*(1+(Assumptions!$B$19*R18/365))</f>
        <v>1477.2494356164386</v>
      </c>
      <c r="T18" s="32">
        <f t="shared" si="6"/>
        <v>7.2505643835613682</v>
      </c>
      <c r="U18" s="33">
        <f>(C18*Assumptions!$B$16)+(P18*Assumptions!$B$17)</f>
        <v>1.0351000000000001</v>
      </c>
      <c r="V18" s="32">
        <f t="shared" si="7"/>
        <v>6.2154643835613683</v>
      </c>
      <c r="W18" s="32">
        <f>C18+(P18*Assumptions!$B$15)</f>
        <v>1966.2850000000001</v>
      </c>
      <c r="X18" s="34">
        <f t="shared" si="8"/>
        <v>3.161019070766124E-3</v>
      </c>
      <c r="Y18" s="35">
        <f t="shared" si="9"/>
        <v>2.7470760972134172E-2</v>
      </c>
      <c r="Z18" s="28" t="str">
        <f>IF(AND(R18&gt;0,Y18  &gt; Assumptions!$B$13), "ENTER", "DONT ENTER")</f>
        <v>DONT ENTER</v>
      </c>
      <c r="AB18" s="32">
        <f>VLOOKUP(A18, Raw_Data_Reliance!AQ:BE, 8, FALSE)</f>
        <v>1493.3</v>
      </c>
      <c r="AC18" s="25">
        <f>Assumptions!$B$32</f>
        <v>45930</v>
      </c>
      <c r="AD18" s="33">
        <f t="shared" si="10"/>
        <v>75</v>
      </c>
      <c r="AE18" s="33">
        <f>C18*(1+(Assumptions!$B$13*AD18/365))</f>
        <v>1495.9673561643835</v>
      </c>
      <c r="AF18" s="32">
        <f t="shared" si="11"/>
        <v>-2.667356164383591</v>
      </c>
      <c r="AG18" s="33">
        <f>(C18*Assumptions!$B$16)+(AB18*Assumptions!$B$17)</f>
        <v>1.0368600000000001</v>
      </c>
      <c r="AH18" s="32">
        <f t="shared" si="12"/>
        <v>-3.7042161643835909</v>
      </c>
      <c r="AI18" s="32">
        <f>C18+(AB18*Assumptions!$B$15)</f>
        <v>1969.1890000000001</v>
      </c>
      <c r="AJ18" s="34">
        <f t="shared" si="13"/>
        <v>-1.8810871705984499E-3</v>
      </c>
      <c r="AK18" s="35">
        <f t="shared" si="14"/>
        <v>-9.1546242302457895E-3</v>
      </c>
      <c r="AL18" s="28" t="str">
        <f>IF(AND(AD18&gt;0,AK18  &gt; Assumptions!$B$13), "ENTER", "DONT ENTER")</f>
        <v>DONT ENTER</v>
      </c>
    </row>
    <row r="19" spans="1:38" x14ac:dyDescent="0.3">
      <c r="A19" s="25">
        <v>45856</v>
      </c>
      <c r="B19" s="3" t="s">
        <v>26</v>
      </c>
      <c r="C19" s="26">
        <f>VLOOKUP(A19, Raw_Data_Reliance!A:N, 8, FALSE)</f>
        <v>1476</v>
      </c>
      <c r="D19" s="26">
        <f>VLOOKUP(A19, Raw_Data_Reliance!O:AA, 8, FALSE)</f>
        <v>1482.6</v>
      </c>
      <c r="E19" s="25">
        <f>Assumptions!$B$30</f>
        <v>45869</v>
      </c>
      <c r="F19" s="3">
        <f t="shared" si="0"/>
        <v>13</v>
      </c>
      <c r="G19" s="3">
        <f>C19*(1+(Assumptions!$B$19*F19/365))</f>
        <v>1476.2628493150683</v>
      </c>
      <c r="H19" s="26">
        <f t="shared" si="1"/>
        <v>6.3371506849316575</v>
      </c>
      <c r="I19" s="3">
        <f>(C19*Assumptions!$B$16)+(D19*Assumptions!$B$17)</f>
        <v>1.0345200000000001</v>
      </c>
      <c r="J19" s="26">
        <f t="shared" si="2"/>
        <v>5.3026306849316569</v>
      </c>
      <c r="K19" s="26">
        <f>C19+(D19*Assumptions!$B$15)</f>
        <v>1965.258</v>
      </c>
      <c r="L19" s="7">
        <f t="shared" si="3"/>
        <v>2.698185523189147E-3</v>
      </c>
      <c r="M19" s="29">
        <f t="shared" si="4"/>
        <v>7.5756747381849121E-2</v>
      </c>
      <c r="N19" s="30" t="str">
        <f>IF(AND(F19&gt;0, M19 &gt; Assumptions!$B$13), "ENTER", "DONT ENTER")</f>
        <v>ENTER</v>
      </c>
      <c r="O19" s="31"/>
      <c r="P19" s="32">
        <f>VLOOKUP(A19, Raw_Data_Reliance!AB:AP, 8, FALSE)</f>
        <v>1484.4</v>
      </c>
      <c r="Q19" s="25">
        <f>Assumptions!$B$31</f>
        <v>45897</v>
      </c>
      <c r="R19" s="3">
        <f t="shared" si="5"/>
        <v>41</v>
      </c>
      <c r="S19" s="33">
        <f>C19*(1+(Assumptions!$B$19*R19/365))</f>
        <v>1476.8289863013699</v>
      </c>
      <c r="T19" s="32">
        <f t="shared" si="6"/>
        <v>7.5710136986301677</v>
      </c>
      <c r="U19" s="33">
        <f>(C19*Assumptions!$B$16)+(P19*Assumptions!$B$17)</f>
        <v>1.03488</v>
      </c>
      <c r="V19" s="32">
        <f t="shared" si="7"/>
        <v>6.5361336986301675</v>
      </c>
      <c r="W19" s="32">
        <f>C19+(P19*Assumptions!$B$15)</f>
        <v>1965.8520000000001</v>
      </c>
      <c r="X19" s="34">
        <f t="shared" si="8"/>
        <v>3.3248350835312968E-3</v>
      </c>
      <c r="Y19" s="35">
        <f t="shared" si="9"/>
        <v>2.9599141597290813E-2</v>
      </c>
      <c r="Z19" s="28" t="str">
        <f>IF(AND(R19&gt;0,Y19  &gt; Assumptions!$B$13), "ENTER", "DONT ENTER")</f>
        <v>DONT ENTER</v>
      </c>
      <c r="AB19" s="32">
        <f>VLOOKUP(A19, Raw_Data_Reliance!AQ:BE, 8, FALSE)</f>
        <v>1493.5</v>
      </c>
      <c r="AC19" s="25">
        <f>Assumptions!$B$32</f>
        <v>45930</v>
      </c>
      <c r="AD19" s="33">
        <f t="shared" si="10"/>
        <v>74</v>
      </c>
      <c r="AE19" s="33">
        <f>C19*(1+(Assumptions!$B$13*AD19/365))</f>
        <v>1495.3012273972604</v>
      </c>
      <c r="AF19" s="32">
        <f t="shared" si="11"/>
        <v>-1.8012273972603907</v>
      </c>
      <c r="AG19" s="33">
        <f>(C19*Assumptions!$B$16)+(AB19*Assumptions!$B$17)</f>
        <v>1.0367</v>
      </c>
      <c r="AH19" s="32">
        <f t="shared" si="12"/>
        <v>-2.8379273972603904</v>
      </c>
      <c r="AI19" s="32">
        <f>C19+(AB19*Assumptions!$B$15)</f>
        <v>1968.855</v>
      </c>
      <c r="AJ19" s="34">
        <f t="shared" si="13"/>
        <v>-1.4414100567387595E-3</v>
      </c>
      <c r="AK19" s="35">
        <f t="shared" si="14"/>
        <v>-7.1096577122925298E-3</v>
      </c>
      <c r="AL19" s="28" t="str">
        <f>IF(AND(AD19&gt;0,AK19  &gt; Assumptions!$B$13), "ENTER", "DONT ENTER")</f>
        <v>DONT ENTER</v>
      </c>
    </row>
    <row r="20" spans="1:38" x14ac:dyDescent="0.3">
      <c r="A20" s="25">
        <v>45857</v>
      </c>
      <c r="B20" s="3" t="s">
        <v>26</v>
      </c>
      <c r="C20" s="3" t="e">
        <f>VLOOKUP(A20, Raw_Data_Reliance!A:N, 8, FALSE)</f>
        <v>#N/A</v>
      </c>
      <c r="D20" s="3" t="e">
        <f>VLOOKUP(A20, Raw_Data_Reliance!O:AA, 8, FALSE)</f>
        <v>#N/A</v>
      </c>
      <c r="E20" s="25">
        <f>Assumptions!$B$30</f>
        <v>45869</v>
      </c>
      <c r="F20" s="3">
        <f t="shared" si="0"/>
        <v>12</v>
      </c>
      <c r="G20" s="3" t="e">
        <f>C20*(1+(Assumptions!$B$19*F20/365))</f>
        <v>#N/A</v>
      </c>
      <c r="H20" s="3" t="e">
        <f t="shared" si="1"/>
        <v>#N/A</v>
      </c>
      <c r="I20" s="3" t="e">
        <f>(C20*Assumptions!$B$16)+(D20*Assumptions!$B$17)</f>
        <v>#N/A</v>
      </c>
      <c r="J20" s="3" t="e">
        <f t="shared" si="2"/>
        <v>#N/A</v>
      </c>
      <c r="K20" s="3" t="e">
        <f>C20+(D20*Assumptions!$B$15)</f>
        <v>#N/A</v>
      </c>
      <c r="L20" s="7" t="e">
        <f t="shared" si="3"/>
        <v>#N/A</v>
      </c>
      <c r="M20" s="7" t="e">
        <f t="shared" si="4"/>
        <v>#N/A</v>
      </c>
      <c r="N20" s="3" t="e">
        <f>IF(AND(F20&gt;0, M20 &gt; Assumptions!$B$13), "ENTER", "DONT ENTER")</f>
        <v>#N/A</v>
      </c>
      <c r="P20" s="33" t="e">
        <f>VLOOKUP(A20, Raw_Data_Reliance!AB:AP, 8, FALSE)</f>
        <v>#N/A</v>
      </c>
      <c r="Q20" s="25">
        <f>Assumptions!$B$31</f>
        <v>45897</v>
      </c>
      <c r="R20" s="3">
        <f t="shared" si="5"/>
        <v>40</v>
      </c>
      <c r="S20" s="33" t="e">
        <f>C20*(1+(Assumptions!$B$19*R20/365))</f>
        <v>#N/A</v>
      </c>
      <c r="T20" s="33" t="e">
        <f t="shared" si="6"/>
        <v>#N/A</v>
      </c>
      <c r="U20" s="33" t="e">
        <f>(C20*Assumptions!$B$16)+(P20*Assumptions!$B$17)</f>
        <v>#N/A</v>
      </c>
      <c r="V20" s="33" t="e">
        <f t="shared" si="7"/>
        <v>#N/A</v>
      </c>
      <c r="W20" s="33" t="e">
        <f>C20+(P20*Assumptions!$B$15)</f>
        <v>#N/A</v>
      </c>
      <c r="X20" s="34" t="e">
        <f t="shared" si="8"/>
        <v>#N/A</v>
      </c>
      <c r="Y20" s="34" t="e">
        <f t="shared" si="9"/>
        <v>#N/A</v>
      </c>
      <c r="Z20" s="33" t="e">
        <f>IF(AND(R20&gt;0,Y20  &gt; Assumptions!$B$13), "ENTER", "DONT ENTER")</f>
        <v>#N/A</v>
      </c>
      <c r="AB20" s="33" t="e">
        <f>VLOOKUP(A20, Raw_Data_Reliance!AQ:BE, 8, FALSE)</f>
        <v>#N/A</v>
      </c>
      <c r="AC20" s="25">
        <f>Assumptions!$B$32</f>
        <v>45930</v>
      </c>
      <c r="AD20" s="33">
        <f t="shared" si="10"/>
        <v>73</v>
      </c>
      <c r="AE20" s="33" t="e">
        <f>C20*(1+(Assumptions!$B$13*AD20/365))</f>
        <v>#N/A</v>
      </c>
      <c r="AF20" s="33" t="e">
        <f t="shared" si="11"/>
        <v>#N/A</v>
      </c>
      <c r="AG20" s="33" t="e">
        <f>(C20*Assumptions!$B$16)+(AB20*Assumptions!$B$17)</f>
        <v>#N/A</v>
      </c>
      <c r="AH20" s="33" t="e">
        <f t="shared" si="12"/>
        <v>#N/A</v>
      </c>
      <c r="AI20" s="33" t="e">
        <f>C20+(AB20*Assumptions!$B$15)</f>
        <v>#N/A</v>
      </c>
      <c r="AJ20" s="34" t="e">
        <f t="shared" si="13"/>
        <v>#N/A</v>
      </c>
      <c r="AK20" s="34" t="e">
        <f t="shared" si="14"/>
        <v>#N/A</v>
      </c>
      <c r="AL20" s="33" t="e">
        <f>IF(AND(AD20&gt;0,AK20  &gt; Assumptions!$B$13), "ENTER", "DONT ENTER")</f>
        <v>#N/A</v>
      </c>
    </row>
    <row r="21" spans="1:38" x14ac:dyDescent="0.3">
      <c r="A21" s="25">
        <v>45858</v>
      </c>
      <c r="B21" s="3" t="s">
        <v>26</v>
      </c>
      <c r="C21" s="3" t="e">
        <f>VLOOKUP(A21, Raw_Data_Reliance!A:N, 8, FALSE)</f>
        <v>#N/A</v>
      </c>
      <c r="D21" s="3" t="e">
        <f>VLOOKUP(A21, Raw_Data_Reliance!O:AA, 8, FALSE)</f>
        <v>#N/A</v>
      </c>
      <c r="E21" s="25">
        <f>Assumptions!$B$30</f>
        <v>45869</v>
      </c>
      <c r="F21" s="3">
        <f t="shared" si="0"/>
        <v>11</v>
      </c>
      <c r="G21" s="3" t="e">
        <f>C21*(1+(Assumptions!$B$19*F21/365))</f>
        <v>#N/A</v>
      </c>
      <c r="H21" s="3" t="e">
        <f t="shared" si="1"/>
        <v>#N/A</v>
      </c>
      <c r="I21" s="3" t="e">
        <f>(C21*Assumptions!$B$16)+(D21*Assumptions!$B$17)</f>
        <v>#N/A</v>
      </c>
      <c r="J21" s="3" t="e">
        <f t="shared" si="2"/>
        <v>#N/A</v>
      </c>
      <c r="K21" s="3" t="e">
        <f>C21+(D21*Assumptions!$B$15)</f>
        <v>#N/A</v>
      </c>
      <c r="L21" s="7" t="e">
        <f t="shared" si="3"/>
        <v>#N/A</v>
      </c>
      <c r="M21" s="7" t="e">
        <f t="shared" si="4"/>
        <v>#N/A</v>
      </c>
      <c r="N21" s="3" t="e">
        <f>IF(AND(F21&gt;0, M21 &gt; Assumptions!$B$13), "ENTER", "DONT ENTER")</f>
        <v>#N/A</v>
      </c>
      <c r="P21" s="33" t="e">
        <f>VLOOKUP(A21, Raw_Data_Reliance!AB:AP, 8, FALSE)</f>
        <v>#N/A</v>
      </c>
      <c r="Q21" s="25">
        <f>Assumptions!$B$31</f>
        <v>45897</v>
      </c>
      <c r="R21" s="3">
        <f t="shared" si="5"/>
        <v>39</v>
      </c>
      <c r="S21" s="33" t="e">
        <f>C21*(1+(Assumptions!$B$19*R21/365))</f>
        <v>#N/A</v>
      </c>
      <c r="T21" s="33" t="e">
        <f t="shared" si="6"/>
        <v>#N/A</v>
      </c>
      <c r="U21" s="33" t="e">
        <f>(C21*Assumptions!$B$16)+(P21*Assumptions!$B$17)</f>
        <v>#N/A</v>
      </c>
      <c r="V21" s="33" t="e">
        <f t="shared" si="7"/>
        <v>#N/A</v>
      </c>
      <c r="W21" s="33" t="e">
        <f>C21+(P21*Assumptions!$B$15)</f>
        <v>#N/A</v>
      </c>
      <c r="X21" s="34" t="e">
        <f t="shared" si="8"/>
        <v>#N/A</v>
      </c>
      <c r="Y21" s="34" t="e">
        <f t="shared" si="9"/>
        <v>#N/A</v>
      </c>
      <c r="Z21" s="33" t="e">
        <f>IF(AND(R21&gt;0,Y21  &gt; Assumptions!$B$13), "ENTER", "DONT ENTER")</f>
        <v>#N/A</v>
      </c>
      <c r="AB21" s="33" t="e">
        <f>VLOOKUP(A21, Raw_Data_Reliance!AQ:BE, 8, FALSE)</f>
        <v>#N/A</v>
      </c>
      <c r="AC21" s="25">
        <f>Assumptions!$B$32</f>
        <v>45930</v>
      </c>
      <c r="AD21" s="33">
        <f t="shared" si="10"/>
        <v>72</v>
      </c>
      <c r="AE21" s="33" t="e">
        <f>C21*(1+(Assumptions!$B$13*AD21/365))</f>
        <v>#N/A</v>
      </c>
      <c r="AF21" s="33" t="e">
        <f t="shared" si="11"/>
        <v>#N/A</v>
      </c>
      <c r="AG21" s="33" t="e">
        <f>(C21*Assumptions!$B$16)+(AB21*Assumptions!$B$17)</f>
        <v>#N/A</v>
      </c>
      <c r="AH21" s="33" t="e">
        <f t="shared" si="12"/>
        <v>#N/A</v>
      </c>
      <c r="AI21" s="33" t="e">
        <f>C21+(AB21*Assumptions!$B$15)</f>
        <v>#N/A</v>
      </c>
      <c r="AJ21" s="34" t="e">
        <f t="shared" si="13"/>
        <v>#N/A</v>
      </c>
      <c r="AK21" s="34" t="e">
        <f t="shared" si="14"/>
        <v>#N/A</v>
      </c>
      <c r="AL21" s="33" t="e">
        <f>IF(AND(AD21&gt;0,AK21  &gt; Assumptions!$B$13), "ENTER", "DONT ENTER")</f>
        <v>#N/A</v>
      </c>
    </row>
    <row r="22" spans="1:38" x14ac:dyDescent="0.3">
      <c r="A22" s="25">
        <v>45859</v>
      </c>
      <c r="B22" s="3" t="s">
        <v>26</v>
      </c>
      <c r="C22" s="26">
        <f>VLOOKUP(A22, Raw_Data_Reliance!A:N, 8, FALSE)</f>
        <v>1428.6</v>
      </c>
      <c r="D22" s="26">
        <f>VLOOKUP(A22, Raw_Data_Reliance!O:AA, 8, FALSE)</f>
        <v>1432.4</v>
      </c>
      <c r="E22" s="25">
        <f>Assumptions!$B$30</f>
        <v>45869</v>
      </c>
      <c r="F22" s="3">
        <f t="shared" si="0"/>
        <v>10</v>
      </c>
      <c r="G22" s="3">
        <f>C22*(1+(Assumptions!$B$19*F22/365))</f>
        <v>1428.7956986301369</v>
      </c>
      <c r="H22" s="26">
        <f t="shared" si="1"/>
        <v>3.6043013698631512</v>
      </c>
      <c r="I22" s="3">
        <f>(C22*Assumptions!$B$16)+(D22*Assumptions!$B$17)</f>
        <v>1.00078</v>
      </c>
      <c r="J22" s="26">
        <f t="shared" si="2"/>
        <v>2.6035213698631514</v>
      </c>
      <c r="K22" s="26">
        <f>C22+(D22*Assumptions!$B$15)</f>
        <v>1901.2919999999999</v>
      </c>
      <c r="L22" s="7">
        <f t="shared" si="3"/>
        <v>1.3693432517799221E-3</v>
      </c>
      <c r="M22" s="27">
        <f t="shared" si="4"/>
        <v>4.9981028689967157E-2</v>
      </c>
      <c r="N22" s="28" t="str">
        <f>IF(AND(F22&gt;0, M22 &gt; Assumptions!$B$13), "ENTER", "DONT ENTER")</f>
        <v>DONT ENTER</v>
      </c>
      <c r="P22" s="32">
        <f>VLOOKUP(A22, Raw_Data_Reliance!AB:AP, 8, FALSE)</f>
        <v>1434.9</v>
      </c>
      <c r="Q22" s="25">
        <f>Assumptions!$B$31</f>
        <v>45897</v>
      </c>
      <c r="R22" s="3">
        <f t="shared" si="5"/>
        <v>38</v>
      </c>
      <c r="S22" s="33">
        <f>C22*(1+(Assumptions!$B$19*R22/365))</f>
        <v>1429.3436547945205</v>
      </c>
      <c r="T22" s="32">
        <f t="shared" si="6"/>
        <v>5.5563452054796016</v>
      </c>
      <c r="U22" s="33">
        <f>(C22*Assumptions!$B$16)+(P22*Assumptions!$B$17)</f>
        <v>1.0012799999999999</v>
      </c>
      <c r="V22" s="32">
        <f t="shared" si="7"/>
        <v>4.5550652054796021</v>
      </c>
      <c r="W22" s="32">
        <f>C22+(P22*Assumptions!$B$15)</f>
        <v>1902.117</v>
      </c>
      <c r="X22" s="34">
        <f t="shared" si="8"/>
        <v>2.3947345013369853E-3</v>
      </c>
      <c r="Y22" s="35">
        <f t="shared" si="9"/>
        <v>2.3002055078631567E-2</v>
      </c>
      <c r="Z22" s="28" t="str">
        <f>IF(AND(R22&gt;0,Y22  &gt; Assumptions!$B$13), "ENTER", "DONT ENTER")</f>
        <v>DONT ENTER</v>
      </c>
      <c r="AB22" s="32">
        <f>VLOOKUP(A22, Raw_Data_Reliance!AQ:BE, 8, FALSE)</f>
        <v>1443.7</v>
      </c>
      <c r="AC22" s="25">
        <f>Assumptions!$B$32</f>
        <v>45930</v>
      </c>
      <c r="AD22" s="33">
        <f t="shared" si="10"/>
        <v>71</v>
      </c>
      <c r="AE22" s="33">
        <f>C22*(1+(Assumptions!$B$13*AD22/365))</f>
        <v>1446.5240375342466</v>
      </c>
      <c r="AF22" s="32">
        <f t="shared" si="11"/>
        <v>-2.8240375342465995</v>
      </c>
      <c r="AG22" s="33">
        <f>(C22*Assumptions!$B$16)+(AB22*Assumptions!$B$17)</f>
        <v>1.0030399999999999</v>
      </c>
      <c r="AH22" s="32">
        <f t="shared" si="12"/>
        <v>-3.8270775342465995</v>
      </c>
      <c r="AI22" s="32">
        <f>C22+(AB22*Assumptions!$B$15)</f>
        <v>1905.021</v>
      </c>
      <c r="AJ22" s="34">
        <f t="shared" si="13"/>
        <v>-2.0089424390841884E-3</v>
      </c>
      <c r="AK22" s="35">
        <f t="shared" si="14"/>
        <v>-1.0327661834728573E-2</v>
      </c>
      <c r="AL22" s="28" t="str">
        <f>IF(AND(AD22&gt;0,AK22  &gt; Assumptions!$B$13), "ENTER", "DONT ENTER")</f>
        <v>DONT ENTER</v>
      </c>
    </row>
    <row r="23" spans="1:38" x14ac:dyDescent="0.3">
      <c r="A23" s="25">
        <v>45860</v>
      </c>
      <c r="B23" s="3" t="s">
        <v>26</v>
      </c>
      <c r="C23" s="26">
        <f>VLOOKUP(A23, Raw_Data_Reliance!A:N, 8, FALSE)</f>
        <v>1412.8</v>
      </c>
      <c r="D23" s="26">
        <f>VLOOKUP(A23, Raw_Data_Reliance!O:AA, 8, FALSE)</f>
        <v>1417.3</v>
      </c>
      <c r="E23" s="25">
        <f>Assumptions!$B$30</f>
        <v>45869</v>
      </c>
      <c r="F23" s="3">
        <f t="shared" si="0"/>
        <v>9</v>
      </c>
      <c r="G23" s="3">
        <f>C23*(1+(Assumptions!$B$19*F23/365))</f>
        <v>1412.9741808219178</v>
      </c>
      <c r="H23" s="26">
        <f t="shared" si="1"/>
        <v>4.3258191780821562</v>
      </c>
      <c r="I23" s="3">
        <f>(C23*Assumptions!$B$16)+(D23*Assumptions!$B$17)</f>
        <v>0.98985999999999996</v>
      </c>
      <c r="J23" s="26">
        <f t="shared" si="2"/>
        <v>3.335959178082156</v>
      </c>
      <c r="K23" s="26">
        <f>C23+(D23*Assumptions!$B$15)</f>
        <v>1880.509</v>
      </c>
      <c r="L23" s="7">
        <f t="shared" si="3"/>
        <v>1.7739660794402771E-3</v>
      </c>
      <c r="M23" s="29">
        <f t="shared" si="4"/>
        <v>7.1944179888411244E-2</v>
      </c>
      <c r="N23" s="30" t="str">
        <f>IF(AND(F23&gt;0, M23 &gt; Assumptions!$B$13), "ENTER", "DONT ENTER")</f>
        <v>ENTER</v>
      </c>
      <c r="O23" s="31"/>
      <c r="P23" s="32">
        <f>VLOOKUP(A23, Raw_Data_Reliance!AB:AP, 8, FALSE)</f>
        <v>1418.9</v>
      </c>
      <c r="Q23" s="25">
        <f>Assumptions!$B$31</f>
        <v>45897</v>
      </c>
      <c r="R23" s="3">
        <f t="shared" si="5"/>
        <v>37</v>
      </c>
      <c r="S23" s="33">
        <f>C23*(1+(Assumptions!$B$19*R23/365))</f>
        <v>1413.5160767123286</v>
      </c>
      <c r="T23" s="32">
        <f t="shared" si="6"/>
        <v>5.3839232876714505</v>
      </c>
      <c r="U23" s="33">
        <f>(C23*Assumptions!$B$16)+(P23*Assumptions!$B$17)</f>
        <v>0.99018000000000006</v>
      </c>
      <c r="V23" s="32">
        <f t="shared" si="7"/>
        <v>4.3937432876714499</v>
      </c>
      <c r="W23" s="32">
        <f>C23+(P23*Assumptions!$B$15)</f>
        <v>1881.037</v>
      </c>
      <c r="X23" s="34">
        <f t="shared" si="8"/>
        <v>2.3358090710982556E-3</v>
      </c>
      <c r="Y23" s="35">
        <f t="shared" si="9"/>
        <v>2.3042440836509821E-2</v>
      </c>
      <c r="Z23" s="28" t="str">
        <f>IF(AND(R23&gt;0,Y23  &gt; Assumptions!$B$13), "ENTER", "DONT ENTER")</f>
        <v>DONT ENTER</v>
      </c>
      <c r="AB23" s="32">
        <f>VLOOKUP(A23, Raw_Data_Reliance!AQ:BE, 8, FALSE)</f>
        <v>1426.7</v>
      </c>
      <c r="AC23" s="25">
        <f>Assumptions!$B$32</f>
        <v>45930</v>
      </c>
      <c r="AD23" s="33">
        <f t="shared" si="10"/>
        <v>70</v>
      </c>
      <c r="AE23" s="33">
        <f>C23*(1+(Assumptions!$B$13*AD23/365))</f>
        <v>1430.2761424657533</v>
      </c>
      <c r="AF23" s="32">
        <f t="shared" si="11"/>
        <v>-3.5761424657532643</v>
      </c>
      <c r="AG23" s="33">
        <f>(C23*Assumptions!$B$16)+(AB23*Assumptions!$B$17)</f>
        <v>0.99174000000000007</v>
      </c>
      <c r="AH23" s="32">
        <f t="shared" si="12"/>
        <v>-4.5678824657532644</v>
      </c>
      <c r="AI23" s="32">
        <f>C23+(AB23*Assumptions!$B$15)</f>
        <v>1883.6109999999999</v>
      </c>
      <c r="AJ23" s="34">
        <f t="shared" si="13"/>
        <v>-2.4250667817045371E-3</v>
      </c>
      <c r="AK23" s="35">
        <f t="shared" si="14"/>
        <v>-1.2644991076030801E-2</v>
      </c>
      <c r="AL23" s="28" t="str">
        <f>IF(AND(AD23&gt;0,AK23  &gt; Assumptions!$B$13), "ENTER", "DONT ENTER")</f>
        <v>DONT ENTER</v>
      </c>
    </row>
    <row r="24" spans="1:38" x14ac:dyDescent="0.3">
      <c r="A24" s="25">
        <v>45861</v>
      </c>
      <c r="B24" s="3" t="s">
        <v>26</v>
      </c>
      <c r="C24" s="26">
        <f>VLOOKUP(A24, Raw_Data_Reliance!A:N, 8, FALSE)</f>
        <v>1424.6</v>
      </c>
      <c r="D24" s="26">
        <f>VLOOKUP(A24, Raw_Data_Reliance!O:AA, 8, FALSE)</f>
        <v>1427.1</v>
      </c>
      <c r="E24" s="25">
        <f>Assumptions!$B$30</f>
        <v>45869</v>
      </c>
      <c r="F24" s="3">
        <f t="shared" si="0"/>
        <v>8</v>
      </c>
      <c r="G24" s="3">
        <f>C24*(1+(Assumptions!$B$19*F24/365))</f>
        <v>1424.7561205479451</v>
      </c>
      <c r="H24" s="26">
        <f t="shared" si="1"/>
        <v>2.3438794520548072</v>
      </c>
      <c r="I24" s="3">
        <f>(C24*Assumptions!$B$16)+(D24*Assumptions!$B$17)</f>
        <v>0.99771999999999994</v>
      </c>
      <c r="J24" s="26">
        <f t="shared" si="2"/>
        <v>1.3461594520548072</v>
      </c>
      <c r="K24" s="26">
        <f>C24+(D24*Assumptions!$B$15)</f>
        <v>1895.5429999999999</v>
      </c>
      <c r="L24" s="7">
        <f t="shared" si="3"/>
        <v>7.1017088615494737E-4</v>
      </c>
      <c r="M24" s="27">
        <f t="shared" si="4"/>
        <v>3.2401546680819474E-2</v>
      </c>
      <c r="N24" s="28" t="str">
        <f>IF(AND(F24&gt;0, M24 &gt; Assumptions!$B$13), "ENTER", "DONT ENTER")</f>
        <v>DONT ENTER</v>
      </c>
      <c r="O24" s="31"/>
      <c r="P24" s="32">
        <f>VLOOKUP(A24, Raw_Data_Reliance!AB:AP, 8, FALSE)</f>
        <v>1429.6</v>
      </c>
      <c r="Q24" s="25">
        <f>Assumptions!$B$31</f>
        <v>45897</v>
      </c>
      <c r="R24" s="3">
        <f t="shared" si="5"/>
        <v>36</v>
      </c>
      <c r="S24" s="33">
        <f>C24*(1+(Assumptions!$B$19*R24/365))</f>
        <v>1425.3025424657533</v>
      </c>
      <c r="T24" s="32">
        <f t="shared" si="6"/>
        <v>4.2974575342466323</v>
      </c>
      <c r="U24" s="33">
        <f>(C24*Assumptions!$B$16)+(P24*Assumptions!$B$17)</f>
        <v>0.99821999999999989</v>
      </c>
      <c r="V24" s="32">
        <f t="shared" si="7"/>
        <v>3.2992375342466325</v>
      </c>
      <c r="W24" s="32">
        <f>C24+(P24*Assumptions!$B$15)</f>
        <v>1896.3679999999999</v>
      </c>
      <c r="X24" s="34">
        <f t="shared" si="8"/>
        <v>1.7397665085292688E-3</v>
      </c>
      <c r="Y24" s="35">
        <f t="shared" si="9"/>
        <v>1.7639299322588422E-2</v>
      </c>
      <c r="Z24" s="28" t="str">
        <f>IF(AND(R24&gt;0,Y24  &gt; Assumptions!$B$13), "ENTER", "DONT ENTER")</f>
        <v>DONT ENTER</v>
      </c>
      <c r="AB24" s="32">
        <f>VLOOKUP(A24, Raw_Data_Reliance!AQ:BE, 8, FALSE)</f>
        <v>1437.4</v>
      </c>
      <c r="AC24" s="25">
        <f>Assumptions!$B$32</f>
        <v>45930</v>
      </c>
      <c r="AD24" s="33">
        <f t="shared" si="10"/>
        <v>69</v>
      </c>
      <c r="AE24" s="33">
        <f>C24*(1+(Assumptions!$B$13*AD24/365))</f>
        <v>1441.9703624657534</v>
      </c>
      <c r="AF24" s="32">
        <f t="shared" si="11"/>
        <v>-4.5703624657533055</v>
      </c>
      <c r="AG24" s="33">
        <f>(C24*Assumptions!$B$16)+(AB24*Assumptions!$B$17)</f>
        <v>0.99977999999999989</v>
      </c>
      <c r="AH24" s="32">
        <f t="shared" si="12"/>
        <v>-5.570142465753305</v>
      </c>
      <c r="AI24" s="32">
        <f>C24+(AB24*Assumptions!$B$15)</f>
        <v>1898.942</v>
      </c>
      <c r="AJ24" s="34">
        <f t="shared" si="13"/>
        <v>-2.9332873072233407E-3</v>
      </c>
      <c r="AK24" s="35">
        <f t="shared" si="14"/>
        <v>-1.5516664741108977E-2</v>
      </c>
      <c r="AL24" s="28" t="str">
        <f>IF(AND(AD24&gt;0,AK24  &gt; Assumptions!$B$13), "ENTER", "DONT ENTER")</f>
        <v>DONT ENTER</v>
      </c>
    </row>
    <row r="25" spans="1:38" x14ac:dyDescent="0.3">
      <c r="A25" s="25">
        <v>45862</v>
      </c>
      <c r="B25" s="3" t="s">
        <v>26</v>
      </c>
      <c r="C25" s="26">
        <f>VLOOKUP(A25, Raw_Data_Reliance!A:N, 8, FALSE)</f>
        <v>1402.9</v>
      </c>
      <c r="D25" s="26">
        <f>VLOOKUP(A25, Raw_Data_Reliance!O:AA, 8, FALSE)</f>
        <v>1406.6</v>
      </c>
      <c r="E25" s="25">
        <f>Assumptions!$B$30</f>
        <v>45869</v>
      </c>
      <c r="F25" s="3">
        <f t="shared" si="0"/>
        <v>7</v>
      </c>
      <c r="G25" s="3">
        <f>C25*(1+(Assumptions!$B$19*F25/365))</f>
        <v>1403.0345246575343</v>
      </c>
      <c r="H25" s="26">
        <f t="shared" si="1"/>
        <v>3.565475342465561</v>
      </c>
      <c r="I25" s="3">
        <f>(C25*Assumptions!$B$16)+(D25*Assumptions!$B$17)</f>
        <v>0.98277000000000003</v>
      </c>
      <c r="J25" s="26">
        <f t="shared" si="2"/>
        <v>2.582705342465561</v>
      </c>
      <c r="K25" s="26">
        <f>C25+(D25*Assumptions!$B$15)</f>
        <v>1867.078</v>
      </c>
      <c r="L25" s="7">
        <f t="shared" si="3"/>
        <v>1.383287330505507E-3</v>
      </c>
      <c r="M25" s="29">
        <f t="shared" si="4"/>
        <v>7.2128553662072867E-2</v>
      </c>
      <c r="N25" s="30" t="str">
        <f>IF(AND(F25&gt;0, M25 &gt; Assumptions!$B$13), "ENTER", "DONT ENTER")</f>
        <v>ENTER</v>
      </c>
      <c r="O25" s="31"/>
      <c r="P25" s="32">
        <f>VLOOKUP(A25, Raw_Data_Reliance!AB:AP, 8, FALSE)</f>
        <v>1408.6</v>
      </c>
      <c r="Q25" s="25">
        <f>Assumptions!$B$31</f>
        <v>45897</v>
      </c>
      <c r="R25" s="3">
        <f t="shared" si="5"/>
        <v>35</v>
      </c>
      <c r="S25" s="33">
        <f>C25*(1+(Assumptions!$B$19*R25/365))</f>
        <v>1403.5726232876714</v>
      </c>
      <c r="T25" s="32">
        <f t="shared" si="6"/>
        <v>5.0273767123285324</v>
      </c>
      <c r="U25" s="33">
        <f>(C25*Assumptions!$B$16)+(P25*Assumptions!$B$17)</f>
        <v>0.98316999999999999</v>
      </c>
      <c r="V25" s="32">
        <f t="shared" si="7"/>
        <v>4.0442067123285321</v>
      </c>
      <c r="W25" s="32">
        <f>C25+(P25*Assumptions!$B$15)</f>
        <v>1867.7380000000001</v>
      </c>
      <c r="X25" s="34">
        <f t="shared" si="8"/>
        <v>2.1652965846004806E-3</v>
      </c>
      <c r="Y25" s="35">
        <f t="shared" si="9"/>
        <v>2.2580950096547869E-2</v>
      </c>
      <c r="Z25" s="28" t="str">
        <f>IF(AND(R25&gt;0,Y25  &gt; Assumptions!$B$13), "ENTER", "DONT ENTER")</f>
        <v>DONT ENTER</v>
      </c>
      <c r="AB25" s="32">
        <f>VLOOKUP(A25, Raw_Data_Reliance!AQ:BE, 8, FALSE)</f>
        <v>1416.6</v>
      </c>
      <c r="AC25" s="25">
        <f>Assumptions!$B$32</f>
        <v>45930</v>
      </c>
      <c r="AD25" s="33">
        <f t="shared" si="10"/>
        <v>68</v>
      </c>
      <c r="AE25" s="33">
        <f>C25*(1+(Assumptions!$B$13*AD25/365))</f>
        <v>1419.7578613698629</v>
      </c>
      <c r="AF25" s="32">
        <f t="shared" si="11"/>
        <v>-3.1578613698629852</v>
      </c>
      <c r="AG25" s="33">
        <f>(C25*Assumptions!$B$16)+(AB25*Assumptions!$B$17)</f>
        <v>0.98477000000000003</v>
      </c>
      <c r="AH25" s="32">
        <f t="shared" si="12"/>
        <v>-4.1426313698629853</v>
      </c>
      <c r="AI25" s="32">
        <f>C25+(AB25*Assumptions!$B$15)</f>
        <v>1870.3780000000002</v>
      </c>
      <c r="AJ25" s="34">
        <f t="shared" si="13"/>
        <v>-2.2148631826630688E-3</v>
      </c>
      <c r="AK25" s="35">
        <f t="shared" si="14"/>
        <v>-1.1888603848117942E-2</v>
      </c>
      <c r="AL25" s="28" t="str">
        <f>IF(AND(AD25&gt;0,AK25  &gt; Assumptions!$B$13), "ENTER", "DONT ENTER")</f>
        <v>DONT ENTER</v>
      </c>
    </row>
    <row r="26" spans="1:38" x14ac:dyDescent="0.3">
      <c r="A26" s="25">
        <v>45863</v>
      </c>
      <c r="B26" s="3" t="s">
        <v>26</v>
      </c>
      <c r="C26" s="26">
        <f>VLOOKUP(A26, Raw_Data_Reliance!A:N, 8, FALSE)</f>
        <v>1391.7</v>
      </c>
      <c r="D26" s="26">
        <f>VLOOKUP(A26, Raw_Data_Reliance!O:AA, 8, FALSE)</f>
        <v>1393.7</v>
      </c>
      <c r="E26" s="25">
        <f>Assumptions!$B$30</f>
        <v>45869</v>
      </c>
      <c r="F26" s="3">
        <f t="shared" si="0"/>
        <v>6</v>
      </c>
      <c r="G26" s="3">
        <f>C26*(1+(Assumptions!$B$19*F26/365))</f>
        <v>1391.81438630137</v>
      </c>
      <c r="H26" s="26">
        <f t="shared" si="1"/>
        <v>1.8856136986300953</v>
      </c>
      <c r="I26" s="3">
        <f>(C26*Assumptions!$B$16)+(D26*Assumptions!$B$17)</f>
        <v>0.97459000000000007</v>
      </c>
      <c r="J26" s="26">
        <f t="shared" si="2"/>
        <v>0.91102369863009525</v>
      </c>
      <c r="K26" s="26">
        <f>C26+(D26*Assumptions!$B$15)</f>
        <v>1851.6210000000001</v>
      </c>
      <c r="L26" s="7">
        <f t="shared" si="3"/>
        <v>4.920141317419144E-4</v>
      </c>
      <c r="M26" s="27">
        <f t="shared" si="4"/>
        <v>2.9930859680966461E-2</v>
      </c>
      <c r="N26" s="28" t="str">
        <f>IF(AND(F26&gt;0, M26 &gt; Assumptions!$B$13), "ENTER", "DONT ENTER")</f>
        <v>DONT ENTER</v>
      </c>
      <c r="P26" s="26">
        <f>VLOOKUP(A26, Raw_Data_Reliance!AB:AP, 8, FALSE)</f>
        <v>1396.1</v>
      </c>
      <c r="Q26" s="25">
        <f>Assumptions!$B$31</f>
        <v>45897</v>
      </c>
      <c r="R26" s="3">
        <f t="shared" si="5"/>
        <v>34</v>
      </c>
      <c r="S26" s="3">
        <f>C26*(1+(Assumptions!$B$19*R26/365))</f>
        <v>1392.3481890410958</v>
      </c>
      <c r="T26" s="26">
        <f t="shared" si="6"/>
        <v>3.751810958904116</v>
      </c>
      <c r="U26" s="3">
        <f>(C26*Assumptions!$B$16)+(P26*Assumptions!$B$17)</f>
        <v>0.9750700000000001</v>
      </c>
      <c r="V26" s="26">
        <f t="shared" si="7"/>
        <v>2.7767409589041159</v>
      </c>
      <c r="W26" s="26">
        <f>C26+(P26*Assumptions!$B$15)</f>
        <v>1852.413</v>
      </c>
      <c r="X26" s="7">
        <f t="shared" si="8"/>
        <v>1.4989858951022887E-3</v>
      </c>
      <c r="Y26" s="27">
        <f t="shared" si="9"/>
        <v>1.6092054462127511E-2</v>
      </c>
      <c r="Z26" s="28" t="str">
        <f>IF(AND(R26&gt;0,Y26  &gt; Assumptions!$B$13), "ENTER", "DONT ENTER")</f>
        <v>DONT ENTER</v>
      </c>
      <c r="AB26" s="26">
        <f>VLOOKUP(A26, Raw_Data_Reliance!AQ:BE, 8, FALSE)</f>
        <v>1404.4</v>
      </c>
      <c r="AC26" s="25">
        <f>Assumptions!$B$32</f>
        <v>45930</v>
      </c>
      <c r="AD26" s="3">
        <f t="shared" si="10"/>
        <v>67</v>
      </c>
      <c r="AE26" s="3">
        <f>C26*(1+(Assumptions!$B$13*AD26/365))</f>
        <v>1408.1773467123287</v>
      </c>
      <c r="AF26" s="26">
        <f t="shared" si="11"/>
        <v>-3.7773467123286082</v>
      </c>
      <c r="AG26" s="3">
        <f>(C26*Assumptions!$B$16)+(AB26*Assumptions!$B$17)</f>
        <v>0.9767300000000001</v>
      </c>
      <c r="AH26" s="26">
        <f t="shared" si="12"/>
        <v>-4.7540767123286081</v>
      </c>
      <c r="AI26" s="26">
        <f>C26+(AB26*Assumptions!$B$15)</f>
        <v>1855.152</v>
      </c>
      <c r="AJ26" s="7">
        <f t="shared" si="13"/>
        <v>-2.5626346047809604E-3</v>
      </c>
      <c r="AK26" s="27">
        <f t="shared" si="14"/>
        <v>-1.396062135440374E-2</v>
      </c>
      <c r="AL26" s="28" t="str">
        <f>IF(AND(AD26&gt;0,AK26  &gt; Assumptions!$B$13), "ENTER", "DONT ENTER")</f>
        <v>DONT ENTER</v>
      </c>
    </row>
    <row r="27" spans="1:38" x14ac:dyDescent="0.3">
      <c r="A27" s="25">
        <v>45864</v>
      </c>
      <c r="B27" s="3" t="s">
        <v>26</v>
      </c>
      <c r="C27" s="3" t="e">
        <f>VLOOKUP(A27, Raw_Data_Reliance!A:N, 8, FALSE)</f>
        <v>#N/A</v>
      </c>
      <c r="D27" s="3" t="e">
        <f>VLOOKUP(A27, Raw_Data_Reliance!O:AA, 8, FALSE)</f>
        <v>#N/A</v>
      </c>
      <c r="E27" s="25">
        <f>Assumptions!$B$30</f>
        <v>45869</v>
      </c>
      <c r="F27" s="3">
        <f t="shared" si="0"/>
        <v>5</v>
      </c>
      <c r="G27" s="3" t="e">
        <f>C27*(1+(Assumptions!$B$19*F27/365))</f>
        <v>#N/A</v>
      </c>
      <c r="H27" s="3" t="e">
        <f t="shared" si="1"/>
        <v>#N/A</v>
      </c>
      <c r="I27" s="3" t="e">
        <f>(C27*Assumptions!$B$16)+(D27*Assumptions!$B$17)</f>
        <v>#N/A</v>
      </c>
      <c r="J27" s="3" t="e">
        <f t="shared" si="2"/>
        <v>#N/A</v>
      </c>
      <c r="K27" s="3" t="e">
        <f>C27+(D27*Assumptions!$B$15)</f>
        <v>#N/A</v>
      </c>
      <c r="L27" s="7" t="e">
        <f t="shared" si="3"/>
        <v>#N/A</v>
      </c>
      <c r="M27" s="7" t="e">
        <f t="shared" si="4"/>
        <v>#N/A</v>
      </c>
      <c r="N27" s="3" t="e">
        <f>IF(AND(F27&gt;0, M27 &gt; Assumptions!$B$13), "ENTER", "DONT ENTER")</f>
        <v>#N/A</v>
      </c>
      <c r="P27" s="3" t="e">
        <f>VLOOKUP(A27, Raw_Data_Reliance!AB:AP, 8, FALSE)</f>
        <v>#N/A</v>
      </c>
      <c r="Q27" s="25">
        <f>Assumptions!$B$31</f>
        <v>45897</v>
      </c>
      <c r="R27" s="3">
        <f t="shared" si="5"/>
        <v>33</v>
      </c>
      <c r="S27" s="3" t="e">
        <f>C27*(1+(Assumptions!$B$19*R27/365))</f>
        <v>#N/A</v>
      </c>
      <c r="T27" s="3" t="e">
        <f t="shared" si="6"/>
        <v>#N/A</v>
      </c>
      <c r="U27" s="3" t="e">
        <f>(C27*Assumptions!$B$16)+(P27*Assumptions!$B$17)</f>
        <v>#N/A</v>
      </c>
      <c r="V27" s="3" t="e">
        <f t="shared" si="7"/>
        <v>#N/A</v>
      </c>
      <c r="W27" s="3" t="e">
        <f>C27+(P27*Assumptions!$B$15)</f>
        <v>#N/A</v>
      </c>
      <c r="X27" s="7" t="e">
        <f t="shared" si="8"/>
        <v>#N/A</v>
      </c>
      <c r="Y27" s="7" t="e">
        <f t="shared" si="9"/>
        <v>#N/A</v>
      </c>
      <c r="Z27" s="3" t="e">
        <f>IF(AND(R27&gt;0,Y27  &gt; Assumptions!$B$13), "ENTER", "DONT ENTER")</f>
        <v>#N/A</v>
      </c>
      <c r="AB27" s="3" t="e">
        <f>VLOOKUP(A27, Raw_Data_Reliance!AQ:BE, 8, FALSE)</f>
        <v>#N/A</v>
      </c>
      <c r="AC27" s="25">
        <f>Assumptions!$B$32</f>
        <v>45930</v>
      </c>
      <c r="AD27" s="3">
        <f t="shared" si="10"/>
        <v>66</v>
      </c>
      <c r="AE27" s="3" t="e">
        <f>C27*(1+(Assumptions!$B$13*AD27/365))</f>
        <v>#N/A</v>
      </c>
      <c r="AF27" s="3" t="e">
        <f t="shared" si="11"/>
        <v>#N/A</v>
      </c>
      <c r="AG27" s="3" t="e">
        <f>(C27*Assumptions!$B$16)+(AB27*Assumptions!$B$17)</f>
        <v>#N/A</v>
      </c>
      <c r="AH27" s="3" t="e">
        <f t="shared" si="12"/>
        <v>#N/A</v>
      </c>
      <c r="AI27" s="3" t="e">
        <f>C27+(AB27*Assumptions!$B$15)</f>
        <v>#N/A</v>
      </c>
      <c r="AJ27" s="7" t="e">
        <f t="shared" si="13"/>
        <v>#N/A</v>
      </c>
      <c r="AK27" s="7" t="e">
        <f t="shared" si="14"/>
        <v>#N/A</v>
      </c>
      <c r="AL27" s="3" t="e">
        <f>IF(AND(AD27&gt;0,AK27  &gt; Assumptions!$B$13), "ENTER", "DONT ENTER")</f>
        <v>#N/A</v>
      </c>
    </row>
    <row r="28" spans="1:38" x14ac:dyDescent="0.3">
      <c r="A28" s="25">
        <v>45865</v>
      </c>
      <c r="B28" s="3" t="s">
        <v>26</v>
      </c>
      <c r="C28" s="3" t="e">
        <f>VLOOKUP(A28, Raw_Data_Reliance!A:N, 8, FALSE)</f>
        <v>#N/A</v>
      </c>
      <c r="D28" s="3" t="e">
        <f>VLOOKUP(A28, Raw_Data_Reliance!O:AA, 8, FALSE)</f>
        <v>#N/A</v>
      </c>
      <c r="E28" s="25">
        <f>Assumptions!$B$30</f>
        <v>45869</v>
      </c>
      <c r="F28" s="3">
        <f t="shared" si="0"/>
        <v>4</v>
      </c>
      <c r="G28" s="3" t="e">
        <f>C28*(1+(Assumptions!$B$19*F28/365))</f>
        <v>#N/A</v>
      </c>
      <c r="H28" s="3" t="e">
        <f t="shared" si="1"/>
        <v>#N/A</v>
      </c>
      <c r="I28" s="3" t="e">
        <f>(C28*Assumptions!$B$16)+(D28*Assumptions!$B$17)</f>
        <v>#N/A</v>
      </c>
      <c r="J28" s="3" t="e">
        <f t="shared" si="2"/>
        <v>#N/A</v>
      </c>
      <c r="K28" s="3" t="e">
        <f>C28+(D28*Assumptions!$B$15)</f>
        <v>#N/A</v>
      </c>
      <c r="L28" s="7" t="e">
        <f t="shared" si="3"/>
        <v>#N/A</v>
      </c>
      <c r="M28" s="7" t="e">
        <f t="shared" si="4"/>
        <v>#N/A</v>
      </c>
      <c r="N28" s="3" t="e">
        <f>IF(AND(F28&gt;0, M28 &gt; Assumptions!$B$13), "ENTER", "DONT ENTER")</f>
        <v>#N/A</v>
      </c>
      <c r="P28" s="3" t="e">
        <f>VLOOKUP(A28, Raw_Data_Reliance!AB:AP, 8, FALSE)</f>
        <v>#N/A</v>
      </c>
      <c r="Q28" s="25">
        <f>Assumptions!$B$31</f>
        <v>45897</v>
      </c>
      <c r="R28" s="3">
        <f t="shared" si="5"/>
        <v>32</v>
      </c>
      <c r="S28" s="3" t="e">
        <f>C28*(1+(Assumptions!$B$19*R28/365))</f>
        <v>#N/A</v>
      </c>
      <c r="T28" s="3" t="e">
        <f t="shared" si="6"/>
        <v>#N/A</v>
      </c>
      <c r="U28" s="3" t="e">
        <f>(C28*Assumptions!$B$16)+(P28*Assumptions!$B$17)</f>
        <v>#N/A</v>
      </c>
      <c r="V28" s="3" t="e">
        <f t="shared" si="7"/>
        <v>#N/A</v>
      </c>
      <c r="W28" s="3" t="e">
        <f>C28+(P28*Assumptions!$B$15)</f>
        <v>#N/A</v>
      </c>
      <c r="X28" s="7" t="e">
        <f t="shared" si="8"/>
        <v>#N/A</v>
      </c>
      <c r="Y28" s="7" t="e">
        <f t="shared" si="9"/>
        <v>#N/A</v>
      </c>
      <c r="Z28" s="3" t="e">
        <f>IF(AND(R28&gt;0,Y28  &gt; Assumptions!$B$13), "ENTER", "DONT ENTER")</f>
        <v>#N/A</v>
      </c>
      <c r="AB28" s="3" t="e">
        <f>VLOOKUP(A28, Raw_Data_Reliance!AQ:BE, 8, FALSE)</f>
        <v>#N/A</v>
      </c>
      <c r="AC28" s="25">
        <f>Assumptions!$B$32</f>
        <v>45930</v>
      </c>
      <c r="AD28" s="3">
        <f t="shared" si="10"/>
        <v>65</v>
      </c>
      <c r="AE28" s="3" t="e">
        <f>C28*(1+(Assumptions!$B$13*AD28/365))</f>
        <v>#N/A</v>
      </c>
      <c r="AF28" s="3" t="e">
        <f t="shared" si="11"/>
        <v>#N/A</v>
      </c>
      <c r="AG28" s="3" t="e">
        <f>(C28*Assumptions!$B$16)+(AB28*Assumptions!$B$17)</f>
        <v>#N/A</v>
      </c>
      <c r="AH28" s="3" t="e">
        <f t="shared" si="12"/>
        <v>#N/A</v>
      </c>
      <c r="AI28" s="3" t="e">
        <f>C28+(AB28*Assumptions!$B$15)</f>
        <v>#N/A</v>
      </c>
      <c r="AJ28" s="7" t="e">
        <f t="shared" si="13"/>
        <v>#N/A</v>
      </c>
      <c r="AK28" s="7" t="e">
        <f t="shared" si="14"/>
        <v>#N/A</v>
      </c>
      <c r="AL28" s="3" t="e">
        <f>IF(AND(AD28&gt;0,AK28  &gt; Assumptions!$B$13), "ENTER", "DONT ENTER")</f>
        <v>#N/A</v>
      </c>
    </row>
    <row r="29" spans="1:38" x14ac:dyDescent="0.3">
      <c r="A29" s="25">
        <v>45866</v>
      </c>
      <c r="B29" s="3" t="s">
        <v>26</v>
      </c>
      <c r="C29" s="26">
        <f>VLOOKUP(A29, Raw_Data_Reliance!A:N, 8, FALSE)</f>
        <v>1387.6</v>
      </c>
      <c r="D29" s="26">
        <f>VLOOKUP(A29, Raw_Data_Reliance!O:AA, 8, FALSE)</f>
        <v>1389.2</v>
      </c>
      <c r="E29" s="25">
        <f>Assumptions!$B$30</f>
        <v>45869</v>
      </c>
      <c r="F29" s="3">
        <f t="shared" si="0"/>
        <v>3</v>
      </c>
      <c r="G29" s="3">
        <f>C29*(1+(Assumptions!$B$19*F29/365))</f>
        <v>1387.6570246575341</v>
      </c>
      <c r="H29" s="26">
        <f t="shared" si="1"/>
        <v>1.5429753424659793</v>
      </c>
      <c r="I29" s="3">
        <f>(C29*Assumptions!$B$16)+(D29*Assumptions!$B$17)</f>
        <v>0.97164000000000006</v>
      </c>
      <c r="J29" s="26">
        <f t="shared" si="2"/>
        <v>0.57133534246597928</v>
      </c>
      <c r="K29" s="26">
        <f>C29+(D29*Assumptions!$B$15)</f>
        <v>1846.0360000000001</v>
      </c>
      <c r="L29" s="7">
        <f t="shared" si="3"/>
        <v>3.0949306647648218E-4</v>
      </c>
      <c r="M29" s="27">
        <f t="shared" si="4"/>
        <v>3.7654989754638664E-2</v>
      </c>
      <c r="N29" s="28" t="str">
        <f>IF(AND(F29&gt;0, M29 &gt; Assumptions!$B$13), "ENTER", "DONT ENTER")</f>
        <v>DONT ENTER</v>
      </c>
      <c r="P29" s="26">
        <f>VLOOKUP(A29, Raw_Data_Reliance!AB:AP, 8, FALSE)</f>
        <v>1391.7</v>
      </c>
      <c r="Q29" s="25">
        <f>Assumptions!$B$31</f>
        <v>45897</v>
      </c>
      <c r="R29" s="3">
        <f t="shared" si="5"/>
        <v>31</v>
      </c>
      <c r="S29" s="3">
        <f>C29*(1+(Assumptions!$B$19*R29/365))</f>
        <v>1388.1892547945204</v>
      </c>
      <c r="T29" s="26">
        <f t="shared" si="6"/>
        <v>3.5107452054796795</v>
      </c>
      <c r="U29" s="3">
        <f>(C29*Assumptions!$B$16)+(P29*Assumptions!$B$17)</f>
        <v>0.97214</v>
      </c>
      <c r="V29" s="26">
        <f t="shared" si="7"/>
        <v>2.5386052054796795</v>
      </c>
      <c r="W29" s="26">
        <f>C29+(P29*Assumptions!$B$15)</f>
        <v>1846.8609999999999</v>
      </c>
      <c r="X29" s="7">
        <f t="shared" si="8"/>
        <v>1.3745513092104278E-3</v>
      </c>
      <c r="Y29" s="27">
        <f t="shared" si="9"/>
        <v>1.6184233156832456E-2</v>
      </c>
      <c r="Z29" s="28" t="str">
        <f>IF(AND(R29&gt;0,Y29  &gt; Assumptions!$B$13), "ENTER", "DONT ENTER")</f>
        <v>DONT ENTER</v>
      </c>
      <c r="AB29" s="26">
        <f>VLOOKUP(A29, Raw_Data_Reliance!AQ:BE, 8, FALSE)</f>
        <v>1399.7</v>
      </c>
      <c r="AC29" s="25">
        <f>Assumptions!$B$32</f>
        <v>45930</v>
      </c>
      <c r="AD29" s="3">
        <f t="shared" si="10"/>
        <v>64</v>
      </c>
      <c r="AE29" s="3">
        <f>C29*(1+(Assumptions!$B$13*AD29/365))</f>
        <v>1403.2931857534245</v>
      </c>
      <c r="AF29" s="26">
        <f t="shared" si="11"/>
        <v>-3.59318575342445</v>
      </c>
      <c r="AG29" s="3">
        <f>(C29*Assumptions!$B$16)+(AB29*Assumptions!$B$17)</f>
        <v>0.97374000000000005</v>
      </c>
      <c r="AH29" s="26">
        <f t="shared" si="12"/>
        <v>-4.5669257534244503</v>
      </c>
      <c r="AI29" s="26">
        <f>C29+(AB29*Assumptions!$B$15)</f>
        <v>1849.501</v>
      </c>
      <c r="AJ29" s="7">
        <f t="shared" si="13"/>
        <v>-2.4692745521221401E-3</v>
      </c>
      <c r="AK29" s="27">
        <f t="shared" si="14"/>
        <v>-1.4082581430071581E-2</v>
      </c>
      <c r="AL29" s="28" t="str">
        <f>IF(AND(AD29&gt;0,AK29  &gt; Assumptions!$B$13), "ENTER", "DONT ENTER")</f>
        <v>DONT ENTER</v>
      </c>
    </row>
    <row r="30" spans="1:38" x14ac:dyDescent="0.3">
      <c r="A30" s="25">
        <v>45867</v>
      </c>
      <c r="B30" s="3" t="s">
        <v>26</v>
      </c>
      <c r="C30" s="26">
        <f>VLOOKUP(A30, Raw_Data_Reliance!A:N, 8, FALSE)</f>
        <v>1417.1</v>
      </c>
      <c r="D30" s="26">
        <f>VLOOKUP(A30, Raw_Data_Reliance!O:AA, 8, FALSE)</f>
        <v>1416.4</v>
      </c>
      <c r="E30" s="25">
        <f>Assumptions!$B$30</f>
        <v>45869</v>
      </c>
      <c r="F30" s="3">
        <f t="shared" si="0"/>
        <v>2</v>
      </c>
      <c r="G30" s="3">
        <f>C30*(1+(Assumptions!$B$19*F30/365))</f>
        <v>1417.1388246575343</v>
      </c>
      <c r="H30" s="26">
        <f t="shared" si="1"/>
        <v>-0.73882465753422366</v>
      </c>
      <c r="I30" s="3">
        <f>(C30*Assumptions!$B$16)+(D30*Assumptions!$B$17)</f>
        <v>0.99182999999999999</v>
      </c>
      <c r="J30" s="26">
        <f t="shared" si="2"/>
        <v>-1.7306546575342237</v>
      </c>
      <c r="K30" s="26">
        <f>C30+(D30*Assumptions!$B$15)</f>
        <v>1884.5119999999999</v>
      </c>
      <c r="L30" s="7">
        <f t="shared" si="3"/>
        <v>-9.1835693141472362E-4</v>
      </c>
      <c r="M30" s="27">
        <f t="shared" si="4"/>
        <v>-0.16760013998318707</v>
      </c>
      <c r="N30" s="28" t="str">
        <f>IF(AND(F30&gt;0, M30 &gt; Assumptions!$B$13), "ENTER", "DONT ENTER")</f>
        <v>DONT ENTER</v>
      </c>
      <c r="P30" s="26">
        <f>VLOOKUP(A30, Raw_Data_Reliance!AB:AP, 8, FALSE)</f>
        <v>1420</v>
      </c>
      <c r="Q30" s="25">
        <f>Assumptions!$B$31</f>
        <v>45897</v>
      </c>
      <c r="R30" s="3">
        <f t="shared" si="5"/>
        <v>30</v>
      </c>
      <c r="S30" s="3">
        <f>C30*(1+(Assumptions!$B$19*R30/365))</f>
        <v>1417.6823698630137</v>
      </c>
      <c r="T30" s="26">
        <f t="shared" si="6"/>
        <v>2.3176301369862813</v>
      </c>
      <c r="U30" s="3">
        <f>(C30*Assumptions!$B$16)+(P30*Assumptions!$B$17)</f>
        <v>0.99255000000000004</v>
      </c>
      <c r="V30" s="26">
        <f t="shared" si="7"/>
        <v>1.3250801369862812</v>
      </c>
      <c r="W30" s="26">
        <f>C30+(P30*Assumptions!$B$15)</f>
        <v>1885.6999999999998</v>
      </c>
      <c r="X30" s="7">
        <f t="shared" si="8"/>
        <v>7.0269933551799402E-4</v>
      </c>
      <c r="Y30" s="27">
        <f t="shared" si="9"/>
        <v>8.549508582135594E-3</v>
      </c>
      <c r="Z30" s="28" t="str">
        <f>IF(AND(R30&gt;0,Y30  &gt; Assumptions!$B$13), "ENTER", "DONT ENTER")</f>
        <v>DONT ENTER</v>
      </c>
      <c r="AB30" s="26">
        <f>VLOOKUP(A30, Raw_Data_Reliance!AQ:BE, 8, FALSE)</f>
        <v>1427.2</v>
      </c>
      <c r="AC30" s="25">
        <f>Assumptions!$B$32</f>
        <v>45930</v>
      </c>
      <c r="AD30" s="3">
        <f t="shared" si="10"/>
        <v>63</v>
      </c>
      <c r="AE30" s="3">
        <f>C30*(1+(Assumptions!$B$13*AD30/365))</f>
        <v>1432.8763995890411</v>
      </c>
      <c r="AF30" s="26">
        <f t="shared" si="11"/>
        <v>-5.6763995890410115</v>
      </c>
      <c r="AG30" s="3">
        <f>(C30*Assumptions!$B$16)+(AB30*Assumptions!$B$17)</f>
        <v>0.99399000000000004</v>
      </c>
      <c r="AH30" s="26">
        <f t="shared" si="12"/>
        <v>-6.6703895890410116</v>
      </c>
      <c r="AI30" s="26">
        <f>C30+(AB30*Assumptions!$B$15)</f>
        <v>1888.076</v>
      </c>
      <c r="AJ30" s="7">
        <f t="shared" si="13"/>
        <v>-3.5329031188580393E-3</v>
      </c>
      <c r="AK30" s="27">
        <f t="shared" si="14"/>
        <v>-2.0468406958463244E-2</v>
      </c>
      <c r="AL30" s="28" t="str">
        <f>IF(AND(AD30&gt;0,AK30  &gt; Assumptions!$B$13), "ENTER", "DONT ENTER")</f>
        <v>DONT ENTER</v>
      </c>
    </row>
    <row r="31" spans="1:38" x14ac:dyDescent="0.3">
      <c r="A31" s="25">
        <v>45868</v>
      </c>
      <c r="B31" s="3" t="s">
        <v>26</v>
      </c>
      <c r="C31" s="26">
        <f>VLOOKUP(A31, Raw_Data_Reliance!A:N, 8, FALSE)</f>
        <v>1410.1</v>
      </c>
      <c r="D31" s="26">
        <f>VLOOKUP(A31, Raw_Data_Reliance!O:AA, 8, FALSE)</f>
        <v>1410.1</v>
      </c>
      <c r="E31" s="25">
        <f>Assumptions!$B$30</f>
        <v>45869</v>
      </c>
      <c r="F31" s="3">
        <f t="shared" si="0"/>
        <v>1</v>
      </c>
      <c r="G31" s="3">
        <f>C31*(1+(Assumptions!$B$19*F31/365))</f>
        <v>1410.119316438356</v>
      </c>
      <c r="H31" s="26">
        <f t="shared" si="1"/>
        <v>-1.9316438356099752E-2</v>
      </c>
      <c r="I31" s="3">
        <f>(C31*Assumptions!$B$16)+(D31*Assumptions!$B$17)</f>
        <v>0.98706999999999989</v>
      </c>
      <c r="J31" s="26">
        <f t="shared" si="2"/>
        <v>-1.0063864383560996</v>
      </c>
      <c r="K31" s="26">
        <f>C31+(D31*Assumptions!$B$15)</f>
        <v>1875.433</v>
      </c>
      <c r="L31" s="7">
        <f t="shared" si="3"/>
        <v>-5.3661551138115817E-4</v>
      </c>
      <c r="M31" s="27">
        <f t="shared" si="4"/>
        <v>-0.19586466165412272</v>
      </c>
      <c r="N31" s="28" t="str">
        <f>IF(AND(F31&gt;0, M31 &gt; Assumptions!$B$13), "ENTER", "DONT ENTER")</f>
        <v>DONT ENTER</v>
      </c>
      <c r="P31" s="26">
        <f>VLOOKUP(A31, Raw_Data_Reliance!AB:AP, 8, FALSE)</f>
        <v>1412.9</v>
      </c>
      <c r="Q31" s="25">
        <f>Assumptions!$B$31</f>
        <v>45897</v>
      </c>
      <c r="R31" s="3">
        <f t="shared" si="5"/>
        <v>29</v>
      </c>
      <c r="S31" s="3">
        <f>C31*(1+(Assumptions!$B$19*R31/365))</f>
        <v>1410.6601767123286</v>
      </c>
      <c r="T31" s="26">
        <f t="shared" si="6"/>
        <v>2.2398232876714701</v>
      </c>
      <c r="U31" s="3">
        <f>(C31*Assumptions!$B$16)+(P31*Assumptions!$B$17)</f>
        <v>0.98763000000000001</v>
      </c>
      <c r="V31" s="26">
        <f t="shared" si="7"/>
        <v>1.2521932876714701</v>
      </c>
      <c r="W31" s="26">
        <f>C31+(P31*Assumptions!$B$15)</f>
        <v>1876.357</v>
      </c>
      <c r="X31" s="7">
        <f t="shared" si="8"/>
        <v>6.6735343416603025E-4</v>
      </c>
      <c r="Y31" s="27">
        <f t="shared" si="9"/>
        <v>8.3994483955379673E-3</v>
      </c>
      <c r="Z31" s="28" t="str">
        <f>IF(AND(R31&gt;0,Y31  &gt; Assumptions!$B$13), "ENTER", "DONT ENTER")</f>
        <v>DONT ENTER</v>
      </c>
      <c r="AB31" s="26">
        <f>VLOOKUP(A31, Raw_Data_Reliance!AQ:BE, 8, FALSE)</f>
        <v>1419.9</v>
      </c>
      <c r="AC31" s="25">
        <f>Assumptions!$B$32</f>
        <v>45930</v>
      </c>
      <c r="AD31" s="3">
        <f t="shared" si="10"/>
        <v>62</v>
      </c>
      <c r="AE31" s="3">
        <f>C31*(1+(Assumptions!$B$13*AD31/365))</f>
        <v>1425.5492873972601</v>
      </c>
      <c r="AF31" s="26">
        <f t="shared" si="11"/>
        <v>-5.6492873972599682</v>
      </c>
      <c r="AG31" s="3">
        <f>(C31*Assumptions!$B$16)+(AB31*Assumptions!$B$17)</f>
        <v>0.98902999999999996</v>
      </c>
      <c r="AH31" s="26">
        <f t="shared" si="12"/>
        <v>-6.6383173972599678</v>
      </c>
      <c r="AI31" s="26">
        <f>C31+(AB31*Assumptions!$B$15)</f>
        <v>1878.6669999999999</v>
      </c>
      <c r="AJ31" s="7">
        <f t="shared" si="13"/>
        <v>-3.5335253119685222E-3</v>
      </c>
      <c r="AK31" s="27">
        <f t="shared" si="14"/>
        <v>-2.0802205465621136E-2</v>
      </c>
      <c r="AL31" s="28" t="str">
        <f>IF(AND(AD31&gt;0,AK31  &gt; Assumptions!$B$13), "ENTER", "DONT ENTER")</f>
        <v>DONT ENTER</v>
      </c>
    </row>
    <row r="32" spans="1:38" x14ac:dyDescent="0.3">
      <c r="A32" s="25">
        <v>45869</v>
      </c>
      <c r="B32" s="3" t="s">
        <v>26</v>
      </c>
      <c r="C32" s="26">
        <f>VLOOKUP(A32, Raw_Data_Reliance!A:N, 8, FALSE)</f>
        <v>1390.2</v>
      </c>
      <c r="D32" s="26">
        <f>VLOOKUP(A32, Raw_Data_Reliance!O:AA, 8, FALSE)</f>
        <v>1390.2</v>
      </c>
      <c r="E32" s="25">
        <f>Assumptions!$B$30</f>
        <v>45869</v>
      </c>
      <c r="F32" s="3">
        <f t="shared" si="0"/>
        <v>0</v>
      </c>
      <c r="G32" s="3">
        <f>C32*(1+(Assumptions!$B$19*F32/365))</f>
        <v>1390.2</v>
      </c>
      <c r="H32" s="26">
        <f t="shared" si="1"/>
        <v>0</v>
      </c>
      <c r="I32" s="3">
        <f>(C32*Assumptions!$B$16)+(D32*Assumptions!$B$17)</f>
        <v>0.97314000000000012</v>
      </c>
      <c r="J32" s="26">
        <f t="shared" si="2"/>
        <v>-0.97314000000000012</v>
      </c>
      <c r="K32" s="26">
        <f>C32+(D32*Assumptions!$B$15)</f>
        <v>1848.9660000000001</v>
      </c>
      <c r="L32" s="7">
        <f t="shared" si="3"/>
        <v>-5.263157894736842E-4</v>
      </c>
      <c r="M32" s="7" t="e">
        <f t="shared" si="4"/>
        <v>#DIV/0!</v>
      </c>
      <c r="N32" s="3" t="e">
        <f>IF(AND(F32&gt;0, M32 &gt; Assumptions!$B$13), "ENTER", "DONT ENTER")</f>
        <v>#DIV/0!</v>
      </c>
      <c r="P32" s="26">
        <f>VLOOKUP(A32, Raw_Data_Reliance!AB:AP, 8, FALSE)</f>
        <v>1393.9</v>
      </c>
      <c r="Q32" s="25">
        <f>Assumptions!$B$31</f>
        <v>45897</v>
      </c>
      <c r="R32" s="3">
        <f t="shared" si="5"/>
        <v>28</v>
      </c>
      <c r="S32" s="3">
        <f>C32*(1+(Assumptions!$B$19*R32/365))</f>
        <v>1390.7332273972604</v>
      </c>
      <c r="T32" s="26">
        <f t="shared" si="6"/>
        <v>3.1667726027396839</v>
      </c>
      <c r="U32" s="3">
        <f>(C32*Assumptions!$B$16)+(P32*Assumptions!$B$17)</f>
        <v>0.97388000000000008</v>
      </c>
      <c r="V32" s="26">
        <f t="shared" si="7"/>
        <v>2.1928926027396836</v>
      </c>
      <c r="W32" s="26">
        <f>C32+(P32*Assumptions!$B$15)</f>
        <v>1850.1870000000001</v>
      </c>
      <c r="X32" s="7">
        <f t="shared" si="8"/>
        <v>1.1852275487503065E-3</v>
      </c>
      <c r="Y32" s="27">
        <f t="shared" si="9"/>
        <v>1.5450287689066497E-2</v>
      </c>
      <c r="Z32" s="28" t="str">
        <f>IF(AND(R32&gt;0,Y32  &gt; Assumptions!$B$13), "ENTER", "DONT ENTER")</f>
        <v>DONT ENTER</v>
      </c>
      <c r="AB32" s="26">
        <f>VLOOKUP(A32, Raw_Data_Reliance!AQ:BE, 8, FALSE)</f>
        <v>1400.5</v>
      </c>
      <c r="AC32" s="25">
        <f>Assumptions!$B$32</f>
        <v>45930</v>
      </c>
      <c r="AD32" s="3">
        <f t="shared" si="10"/>
        <v>61</v>
      </c>
      <c r="AE32" s="3">
        <f>C32*(1+(Assumptions!$B$13*AD32/365))</f>
        <v>1405.1855942465754</v>
      </c>
      <c r="AF32" s="26">
        <f t="shared" si="11"/>
        <v>-4.6855942465754197</v>
      </c>
      <c r="AG32" s="3">
        <f>(C32*Assumptions!$B$16)+(AB32*Assumptions!$B$17)</f>
        <v>0.97520000000000007</v>
      </c>
      <c r="AH32" s="26">
        <f t="shared" si="12"/>
        <v>-5.6607942465754197</v>
      </c>
      <c r="AI32" s="26">
        <f>C32+(AB32*Assumptions!$B$15)</f>
        <v>1852.365</v>
      </c>
      <c r="AJ32" s="7">
        <f t="shared" si="13"/>
        <v>-3.0559820805162157E-3</v>
      </c>
      <c r="AK32" s="27">
        <f t="shared" si="14"/>
        <v>-1.8285794416203587E-2</v>
      </c>
      <c r="AL32" s="28" t="str">
        <f>IF(AND(AD32&gt;0,AK32  &gt; Assumptions!$B$13), "ENTER", "DONT ENTER")</f>
        <v>DONT ENTER</v>
      </c>
    </row>
    <row r="33" spans="1:38" x14ac:dyDescent="0.3">
      <c r="A33" s="25">
        <v>45870</v>
      </c>
      <c r="B33" s="3" t="s">
        <v>26</v>
      </c>
      <c r="C33" s="26">
        <f>VLOOKUP(A33, Raw_Data_Reliance!A:N, 8, FALSE)</f>
        <v>1393.7</v>
      </c>
      <c r="E33" s="36"/>
      <c r="L33" s="37"/>
      <c r="M33" s="37"/>
      <c r="P33" s="26">
        <f>VLOOKUP(A33, Raw_Data_Reliance!AB:AP, 8, FALSE)</f>
        <v>1392.9</v>
      </c>
      <c r="Q33" s="25">
        <f>Assumptions!$B$31</f>
        <v>45897</v>
      </c>
      <c r="R33" s="3">
        <f t="shared" si="5"/>
        <v>27</v>
      </c>
      <c r="S33" s="3">
        <f>C33*(1+(Assumptions!$B$19*R33/365))</f>
        <v>1394.2154780821918</v>
      </c>
      <c r="T33" s="26">
        <f t="shared" si="6"/>
        <v>-1.3154780821917029</v>
      </c>
      <c r="U33" s="3">
        <f>(C33*Assumptions!$B$16)+(P33*Assumptions!$B$17)</f>
        <v>0.97543000000000013</v>
      </c>
      <c r="V33" s="26">
        <f t="shared" si="7"/>
        <v>-2.2909080821917032</v>
      </c>
      <c r="W33" s="26">
        <f>C33+(P33*Assumptions!$B$15)</f>
        <v>1853.357</v>
      </c>
      <c r="X33" s="7">
        <f t="shared" si="8"/>
        <v>-1.2360856986493715E-3</v>
      </c>
      <c r="Y33" s="27">
        <f t="shared" si="9"/>
        <v>-1.671004740766743E-2</v>
      </c>
      <c r="Z33" s="28" t="str">
        <f>IF(AND(R33&gt;0,Y33  &gt; Assumptions!$B$13), "ENTER", "DONT ENTER")</f>
        <v>DONT ENTER</v>
      </c>
      <c r="AB33" s="26">
        <f>VLOOKUP(A33, Raw_Data_Reliance!AQ:BE, 8, FALSE)</f>
        <v>1400.6</v>
      </c>
      <c r="AC33" s="25">
        <f>Assumptions!$B$32</f>
        <v>45930</v>
      </c>
      <c r="AD33" s="3">
        <f t="shared" si="10"/>
        <v>60</v>
      </c>
      <c r="AE33" s="3">
        <f>C33*(1+(Assumptions!$B$13*AD33/365))</f>
        <v>1408.4770383561643</v>
      </c>
      <c r="AF33" s="26">
        <f t="shared" si="11"/>
        <v>-7.8770383561643484</v>
      </c>
      <c r="AG33" s="3">
        <f>(C33*Assumptions!$B$16)+(AB33*Assumptions!$B$17)</f>
        <v>0.97697000000000012</v>
      </c>
      <c r="AH33" s="26">
        <f t="shared" si="12"/>
        <v>-8.8540083561643481</v>
      </c>
      <c r="AI33" s="26">
        <f>C33+(AB33*Assumptions!$B$15)</f>
        <v>1855.8980000000001</v>
      </c>
      <c r="AJ33" s="7">
        <f t="shared" si="13"/>
        <v>-4.7707408252847666E-3</v>
      </c>
      <c r="AK33" s="27">
        <f t="shared" si="14"/>
        <v>-2.9022006687148997E-2</v>
      </c>
      <c r="AL33" s="28" t="str">
        <f>IF(AND(AD33&gt;0,AK33  &gt; Assumptions!$B$13), "ENTER", "DONT ENTER")</f>
        <v>DONT ENTER</v>
      </c>
    </row>
    <row r="34" spans="1:38" x14ac:dyDescent="0.3">
      <c r="A34" s="25">
        <v>45871</v>
      </c>
      <c r="B34" s="3" t="s">
        <v>26</v>
      </c>
      <c r="C34" s="3" t="e">
        <f>VLOOKUP(A34, Raw_Data_Reliance!A:N, 8, FALSE)</f>
        <v>#N/A</v>
      </c>
      <c r="E34" s="36"/>
      <c r="L34" s="37"/>
      <c r="M34" s="37"/>
      <c r="P34" s="3" t="e">
        <f>VLOOKUP(A34, Raw_Data_Reliance!AB:AP, 8, FALSE)</f>
        <v>#N/A</v>
      </c>
      <c r="Q34" s="25">
        <f>Assumptions!$B$31</f>
        <v>45897</v>
      </c>
      <c r="R34" s="3">
        <f t="shared" si="5"/>
        <v>26</v>
      </c>
      <c r="S34" s="3" t="e">
        <f>C34*(1+(Assumptions!$B$19*R34/365))</f>
        <v>#N/A</v>
      </c>
      <c r="T34" s="3" t="e">
        <f t="shared" si="6"/>
        <v>#N/A</v>
      </c>
      <c r="U34" s="3" t="e">
        <f>(C34*Assumptions!$B$16)+(P34*Assumptions!$B$17)</f>
        <v>#N/A</v>
      </c>
      <c r="V34" s="3" t="e">
        <f t="shared" si="7"/>
        <v>#N/A</v>
      </c>
      <c r="W34" s="3" t="e">
        <f>C34+(P34*Assumptions!$B$15)</f>
        <v>#N/A</v>
      </c>
      <c r="X34" s="7" t="e">
        <f t="shared" si="8"/>
        <v>#N/A</v>
      </c>
      <c r="Y34" s="7" t="e">
        <f t="shared" si="9"/>
        <v>#N/A</v>
      </c>
      <c r="Z34" s="3" t="e">
        <f>IF(AND(R34&gt;0,Y34  &gt; Assumptions!$B$13), "ENTER", "DONT ENTER")</f>
        <v>#N/A</v>
      </c>
      <c r="AB34" s="3" t="e">
        <f>VLOOKUP(A34, Raw_Data_Reliance!AQ:BE, 8, FALSE)</f>
        <v>#N/A</v>
      </c>
      <c r="AC34" s="25">
        <f>Assumptions!$B$32</f>
        <v>45930</v>
      </c>
      <c r="AD34" s="3">
        <f t="shared" si="10"/>
        <v>59</v>
      </c>
      <c r="AE34" s="3" t="e">
        <f>C34*(1+(Assumptions!$B$13*AD34/365))</f>
        <v>#N/A</v>
      </c>
      <c r="AF34" s="3" t="e">
        <f t="shared" si="11"/>
        <v>#N/A</v>
      </c>
      <c r="AG34" s="3" t="e">
        <f>(C34*Assumptions!$B$16)+(AB34*Assumptions!$B$17)</f>
        <v>#N/A</v>
      </c>
      <c r="AH34" s="3" t="e">
        <f t="shared" si="12"/>
        <v>#N/A</v>
      </c>
      <c r="AI34" s="3" t="e">
        <f>C34+(AB34*Assumptions!$B$15)</f>
        <v>#N/A</v>
      </c>
      <c r="AJ34" s="7" t="e">
        <f t="shared" si="13"/>
        <v>#N/A</v>
      </c>
      <c r="AK34" s="7" t="e">
        <f t="shared" si="14"/>
        <v>#N/A</v>
      </c>
      <c r="AL34" s="3" t="e">
        <f>IF(AND(AD34&gt;0,AK34  &gt; Assumptions!$B$13), "ENTER", "DONT ENTER")</f>
        <v>#N/A</v>
      </c>
    </row>
    <row r="35" spans="1:38" x14ac:dyDescent="0.3">
      <c r="A35" s="25">
        <v>45872</v>
      </c>
      <c r="B35" s="3" t="s">
        <v>26</v>
      </c>
      <c r="C35" s="3" t="e">
        <f>VLOOKUP(A35, Raw_Data_Reliance!A:N, 8, FALSE)</f>
        <v>#N/A</v>
      </c>
      <c r="E35" s="36"/>
      <c r="L35" s="37"/>
      <c r="M35" s="37"/>
      <c r="P35" s="3" t="e">
        <f>VLOOKUP(A35, Raw_Data_Reliance!AB:AP, 8, FALSE)</f>
        <v>#N/A</v>
      </c>
      <c r="Q35" s="25">
        <f>Assumptions!$B$31</f>
        <v>45897</v>
      </c>
      <c r="R35" s="3">
        <f t="shared" si="5"/>
        <v>25</v>
      </c>
      <c r="S35" s="3" t="e">
        <f>C35*(1+(Assumptions!$B$19*R35/365))</f>
        <v>#N/A</v>
      </c>
      <c r="T35" s="3" t="e">
        <f t="shared" si="6"/>
        <v>#N/A</v>
      </c>
      <c r="U35" s="3" t="e">
        <f>(C35*Assumptions!$B$16)+(P35*Assumptions!$B$17)</f>
        <v>#N/A</v>
      </c>
      <c r="V35" s="3" t="e">
        <f t="shared" si="7"/>
        <v>#N/A</v>
      </c>
      <c r="W35" s="3" t="e">
        <f>C35+(P35*Assumptions!$B$15)</f>
        <v>#N/A</v>
      </c>
      <c r="X35" s="7" t="e">
        <f t="shared" si="8"/>
        <v>#N/A</v>
      </c>
      <c r="Y35" s="7" t="e">
        <f t="shared" si="9"/>
        <v>#N/A</v>
      </c>
      <c r="Z35" s="3" t="e">
        <f>IF(AND(R35&gt;0,Y35  &gt; Assumptions!$B$13), "ENTER", "DONT ENTER")</f>
        <v>#N/A</v>
      </c>
      <c r="AB35" s="3" t="e">
        <f>VLOOKUP(A35, Raw_Data_Reliance!AQ:BE, 8, FALSE)</f>
        <v>#N/A</v>
      </c>
      <c r="AC35" s="25">
        <f>Assumptions!$B$32</f>
        <v>45930</v>
      </c>
      <c r="AD35" s="3">
        <f t="shared" si="10"/>
        <v>58</v>
      </c>
      <c r="AE35" s="3" t="e">
        <f>C35*(1+(Assumptions!$B$13*AD35/365))</f>
        <v>#N/A</v>
      </c>
      <c r="AF35" s="3" t="e">
        <f t="shared" si="11"/>
        <v>#N/A</v>
      </c>
      <c r="AG35" s="3" t="e">
        <f>(C35*Assumptions!$B$16)+(AB35*Assumptions!$B$17)</f>
        <v>#N/A</v>
      </c>
      <c r="AH35" s="3" t="e">
        <f t="shared" si="12"/>
        <v>#N/A</v>
      </c>
      <c r="AI35" s="3" t="e">
        <f>C35+(AB35*Assumptions!$B$15)</f>
        <v>#N/A</v>
      </c>
      <c r="AJ35" s="7" t="e">
        <f t="shared" si="13"/>
        <v>#N/A</v>
      </c>
      <c r="AK35" s="7" t="e">
        <f t="shared" si="14"/>
        <v>#N/A</v>
      </c>
      <c r="AL35" s="3" t="e">
        <f>IF(AND(AD35&gt;0,AK35  &gt; Assumptions!$B$13), "ENTER", "DONT ENTER")</f>
        <v>#N/A</v>
      </c>
    </row>
    <row r="36" spans="1:38" x14ac:dyDescent="0.3">
      <c r="A36" s="25">
        <v>45873</v>
      </c>
      <c r="B36" s="3" t="s">
        <v>26</v>
      </c>
      <c r="C36" s="26">
        <f>VLOOKUP(A36, Raw_Data_Reliance!A:N, 8, FALSE)</f>
        <v>1411.5</v>
      </c>
      <c r="E36" s="36"/>
      <c r="L36" s="37"/>
      <c r="M36" s="37"/>
      <c r="P36" s="26">
        <f>VLOOKUP(A36, Raw_Data_Reliance!AB:AP, 8, FALSE)</f>
        <v>1409.9</v>
      </c>
      <c r="Q36" s="25">
        <f>Assumptions!$B$31</f>
        <v>45897</v>
      </c>
      <c r="R36" s="3">
        <f t="shared" si="5"/>
        <v>24</v>
      </c>
      <c r="S36" s="3">
        <f>C36*(1+(Assumptions!$B$19*R36/365))</f>
        <v>1411.9640547945205</v>
      </c>
      <c r="T36" s="26">
        <f t="shared" si="6"/>
        <v>-2.0640547945204162</v>
      </c>
      <c r="U36" s="3">
        <f>(C36*Assumptions!$B$16)+(P36*Assumptions!$B$17)</f>
        <v>0.98773</v>
      </c>
      <c r="V36" s="26">
        <f t="shared" si="7"/>
        <v>-3.0517847945204162</v>
      </c>
      <c r="W36" s="26">
        <f>C36+(P36*Assumptions!$B$15)</f>
        <v>1876.7670000000001</v>
      </c>
      <c r="X36" s="7">
        <f t="shared" si="8"/>
        <v>-1.6260861335053399E-3</v>
      </c>
      <c r="Y36" s="27">
        <f t="shared" si="9"/>
        <v>-2.473005994706038E-2</v>
      </c>
      <c r="Z36" s="28" t="str">
        <f>IF(AND(R36&gt;0,Y36  &gt; Assumptions!$B$13), "ENTER", "DONT ENTER")</f>
        <v>DONT ENTER</v>
      </c>
      <c r="AB36" s="26">
        <f>VLOOKUP(A36, Raw_Data_Reliance!AQ:BE, 8, FALSE)</f>
        <v>1417.5</v>
      </c>
      <c r="AC36" s="25">
        <f>Assumptions!$B$32</f>
        <v>45930</v>
      </c>
      <c r="AD36" s="3">
        <f t="shared" si="10"/>
        <v>57</v>
      </c>
      <c r="AE36" s="3">
        <f>C36*(1+(Assumptions!$B$13*AD36/365))</f>
        <v>1425.7174787671233</v>
      </c>
      <c r="AF36" s="26">
        <f t="shared" si="11"/>
        <v>-8.2174787671233389</v>
      </c>
      <c r="AG36" s="3">
        <f>(C36*Assumptions!$B$16)+(AB36*Assumptions!$B$17)</f>
        <v>0.98924999999999996</v>
      </c>
      <c r="AH36" s="26">
        <f t="shared" si="12"/>
        <v>-9.2067287671233391</v>
      </c>
      <c r="AI36" s="26">
        <f>C36+(AB36*Assumptions!$B$15)</f>
        <v>1879.2750000000001</v>
      </c>
      <c r="AJ36" s="7">
        <f t="shared" si="13"/>
        <v>-4.899085427690646E-3</v>
      </c>
      <c r="AK36" s="27">
        <f t="shared" si="14"/>
        <v>-3.1371336510650626E-2</v>
      </c>
      <c r="AL36" s="28" t="str">
        <f>IF(AND(AD36&gt;0,AK36  &gt; Assumptions!$B$13), "ENTER", "DONT ENTER")</f>
        <v>DONT ENTER</v>
      </c>
    </row>
    <row r="37" spans="1:38" x14ac:dyDescent="0.3">
      <c r="A37" s="25">
        <v>45874</v>
      </c>
      <c r="B37" s="3" t="s">
        <v>26</v>
      </c>
      <c r="C37" s="26">
        <f>VLOOKUP(A37, Raw_Data_Reliance!A:N, 8, FALSE)</f>
        <v>1391.7</v>
      </c>
      <c r="E37" s="36"/>
      <c r="L37" s="37"/>
      <c r="M37" s="37"/>
      <c r="P37" s="26">
        <f>VLOOKUP(A37, Raw_Data_Reliance!AB:AP, 8, FALSE)</f>
        <v>1389.9</v>
      </c>
      <c r="Q37" s="25">
        <f>Assumptions!$B$31</f>
        <v>45897</v>
      </c>
      <c r="R37" s="3">
        <f t="shared" si="5"/>
        <v>23</v>
      </c>
      <c r="S37" s="3">
        <f>C37*(1+(Assumptions!$B$19*R37/365))</f>
        <v>1392.1384808219179</v>
      </c>
      <c r="T37" s="26">
        <f t="shared" si="6"/>
        <v>-2.2384808219178467</v>
      </c>
      <c r="U37" s="3">
        <f>(C37*Assumptions!$B$16)+(P37*Assumptions!$B$17)</f>
        <v>0.97383000000000008</v>
      </c>
      <c r="V37" s="26">
        <f t="shared" si="7"/>
        <v>-3.2123108219178467</v>
      </c>
      <c r="W37" s="26">
        <f>C37+(P37*Assumptions!$B$15)</f>
        <v>1850.3670000000002</v>
      </c>
      <c r="X37" s="7">
        <f t="shared" si="8"/>
        <v>-1.7360398352963744E-3</v>
      </c>
      <c r="Y37" s="27">
        <f t="shared" si="9"/>
        <v>-2.7550197386225071E-2</v>
      </c>
      <c r="Z37" s="28" t="str">
        <f>IF(AND(R37&gt;0,Y37  &gt; Assumptions!$B$13), "ENTER", "DONT ENTER")</f>
        <v>DONT ENTER</v>
      </c>
      <c r="AB37" s="26">
        <f>VLOOKUP(A37, Raw_Data_Reliance!AQ:BE, 8, FALSE)</f>
        <v>1398.3</v>
      </c>
      <c r="AC37" s="25">
        <f>Assumptions!$B$32</f>
        <v>45930</v>
      </c>
      <c r="AD37" s="3">
        <f t="shared" si="10"/>
        <v>56</v>
      </c>
      <c r="AE37" s="3">
        <f>C37*(1+(Assumptions!$B$13*AD37/365))</f>
        <v>1405.4721106849315</v>
      </c>
      <c r="AF37" s="26">
        <f t="shared" si="11"/>
        <v>-7.1721106849315674</v>
      </c>
      <c r="AG37" s="3">
        <f>(C37*Assumptions!$B$16)+(AB37*Assumptions!$B$17)</f>
        <v>0.9755100000000001</v>
      </c>
      <c r="AH37" s="26">
        <f t="shared" si="12"/>
        <v>-8.1476206849315673</v>
      </c>
      <c r="AI37" s="26">
        <f>C37+(AB37*Assumptions!$B$15)</f>
        <v>1853.1390000000001</v>
      </c>
      <c r="AJ37" s="7">
        <f t="shared" si="13"/>
        <v>-4.3966592279001022E-3</v>
      </c>
      <c r="AK37" s="27">
        <f t="shared" si="14"/>
        <v>-2.8656796753277453E-2</v>
      </c>
      <c r="AL37" s="28" t="str">
        <f>IF(AND(AD37&gt;0,AK37  &gt; Assumptions!$B$13), "ENTER", "DONT ENTER")</f>
        <v>DONT ENTER</v>
      </c>
    </row>
    <row r="38" spans="1:38" x14ac:dyDescent="0.3">
      <c r="A38" s="25">
        <v>45875</v>
      </c>
      <c r="B38" s="3" t="s">
        <v>26</v>
      </c>
      <c r="C38" s="26">
        <f>VLOOKUP(A38, Raw_Data_Reliance!A:N, 8, FALSE)</f>
        <v>1392.8</v>
      </c>
      <c r="E38" s="36"/>
      <c r="L38" s="37"/>
      <c r="M38" s="37"/>
      <c r="P38" s="26">
        <f>VLOOKUP(A38, Raw_Data_Reliance!AB:AP, 8, FALSE)</f>
        <v>1393.5</v>
      </c>
      <c r="Q38" s="25">
        <f>Assumptions!$B$31</f>
        <v>45897</v>
      </c>
      <c r="R38" s="3">
        <f t="shared" si="5"/>
        <v>22</v>
      </c>
      <c r="S38" s="3">
        <f>C38*(1+(Assumptions!$B$19*R38/365))</f>
        <v>1393.2197479452054</v>
      </c>
      <c r="T38" s="26">
        <f t="shared" si="6"/>
        <v>0.28025205479457327</v>
      </c>
      <c r="U38" s="3">
        <f>(C38*Assumptions!$B$16)+(P38*Assumptions!$B$17)</f>
        <v>0.97510000000000008</v>
      </c>
      <c r="V38" s="26">
        <f t="shared" si="7"/>
        <v>-0.69484794520542681</v>
      </c>
      <c r="W38" s="26">
        <f>C38+(P38*Assumptions!$B$15)</f>
        <v>1852.655</v>
      </c>
      <c r="X38" s="7">
        <f t="shared" si="8"/>
        <v>-3.7505522895813132E-4</v>
      </c>
      <c r="Y38" s="27">
        <f t="shared" si="9"/>
        <v>-6.2225072077144511E-3</v>
      </c>
      <c r="Z38" s="28" t="str">
        <f>IF(AND(R38&gt;0,Y38  &gt; Assumptions!$B$13), "ENTER", "DONT ENTER")</f>
        <v>DONT ENTER</v>
      </c>
      <c r="AB38" s="26">
        <f>VLOOKUP(A38, Raw_Data_Reliance!AQ:BE, 8, FALSE)</f>
        <v>1401.4</v>
      </c>
      <c r="AC38" s="25">
        <f>Assumptions!$B$32</f>
        <v>45930</v>
      </c>
      <c r="AD38" s="3">
        <f t="shared" si="10"/>
        <v>55</v>
      </c>
      <c r="AE38" s="3">
        <f>C38*(1+(Assumptions!$B$13*AD38/365))</f>
        <v>1406.3368712328765</v>
      </c>
      <c r="AF38" s="26">
        <f t="shared" si="11"/>
        <v>-4.9368712328764559</v>
      </c>
      <c r="AG38" s="3">
        <f>(C38*Assumptions!$B$16)+(AB38*Assumptions!$B$17)</f>
        <v>0.97667999999999999</v>
      </c>
      <c r="AH38" s="26">
        <f t="shared" si="12"/>
        <v>-5.9135512328764559</v>
      </c>
      <c r="AI38" s="26">
        <f>C38+(AB38*Assumptions!$B$15)</f>
        <v>1855.2619999999999</v>
      </c>
      <c r="AJ38" s="7">
        <f t="shared" si="13"/>
        <v>-3.1874480439293513E-3</v>
      </c>
      <c r="AK38" s="27">
        <f t="shared" si="14"/>
        <v>-2.1153064291531149E-2</v>
      </c>
      <c r="AL38" s="28" t="str">
        <f>IF(AND(AD38&gt;0,AK38  &gt; Assumptions!$B$13), "ENTER", "DONT ENTER")</f>
        <v>DONT ENTER</v>
      </c>
    </row>
    <row r="39" spans="1:38" x14ac:dyDescent="0.3">
      <c r="A39" s="25">
        <v>45876</v>
      </c>
      <c r="B39" s="3" t="s">
        <v>26</v>
      </c>
      <c r="C39" s="26">
        <f>VLOOKUP(A39, Raw_Data_Reliance!A:N, 8, FALSE)</f>
        <v>1389.4</v>
      </c>
      <c r="E39" s="36"/>
      <c r="L39" s="37"/>
      <c r="M39" s="37"/>
      <c r="P39" s="26">
        <f>VLOOKUP(A39, Raw_Data_Reliance!AB:AP, 8, FALSE)</f>
        <v>1390.6</v>
      </c>
      <c r="Q39" s="25">
        <f>Assumptions!$B$31</f>
        <v>45897</v>
      </c>
      <c r="R39" s="3">
        <f t="shared" si="5"/>
        <v>21</v>
      </c>
      <c r="S39" s="3">
        <f>C39*(1+(Assumptions!$B$19*R39/365))</f>
        <v>1389.7996904109591</v>
      </c>
      <c r="T39" s="26">
        <f t="shared" si="6"/>
        <v>0.80030958904080762</v>
      </c>
      <c r="U39" s="3">
        <f>(C39*Assumptions!$B$16)+(P39*Assumptions!$B$17)</f>
        <v>0.97282000000000002</v>
      </c>
      <c r="V39" s="26">
        <f t="shared" si="7"/>
        <v>-0.1725104109591924</v>
      </c>
      <c r="W39" s="26">
        <f>C39+(P39*Assumptions!$B$15)</f>
        <v>1848.298</v>
      </c>
      <c r="X39" s="7">
        <f t="shared" si="8"/>
        <v>-9.3334738748401182E-5</v>
      </c>
      <c r="Y39" s="27">
        <f t="shared" si="9"/>
        <v>-1.6222466496745918E-3</v>
      </c>
      <c r="Z39" s="28" t="str">
        <f>IF(AND(R39&gt;0,Y39  &gt; Assumptions!$B$13), "ENTER", "DONT ENTER")</f>
        <v>DONT ENTER</v>
      </c>
      <c r="AB39" s="26">
        <f>VLOOKUP(A39, Raw_Data_Reliance!AQ:BE, 8, FALSE)</f>
        <v>1398.3</v>
      </c>
      <c r="AC39" s="25">
        <f>Assumptions!$B$32</f>
        <v>45930</v>
      </c>
      <c r="AD39" s="3">
        <f t="shared" si="10"/>
        <v>54</v>
      </c>
      <c r="AE39" s="3">
        <f>C39*(1+(Assumptions!$B$13*AD39/365))</f>
        <v>1402.6583019178083</v>
      </c>
      <c r="AF39" s="26">
        <f t="shared" si="11"/>
        <v>-4.3583019178083759</v>
      </c>
      <c r="AG39" s="3">
        <f>(C39*Assumptions!$B$16)+(AB39*Assumptions!$B$17)</f>
        <v>0.97436000000000011</v>
      </c>
      <c r="AH39" s="26">
        <f t="shared" si="12"/>
        <v>-5.3326619178083758</v>
      </c>
      <c r="AI39" s="26">
        <f>C39+(AB39*Assumptions!$B$15)</f>
        <v>1850.8390000000002</v>
      </c>
      <c r="AJ39" s="7">
        <f t="shared" si="13"/>
        <v>-2.8812132864113925E-3</v>
      </c>
      <c r="AK39" s="27">
        <f t="shared" si="14"/>
        <v>-1.9474867584077005E-2</v>
      </c>
      <c r="AL39" s="28" t="str">
        <f>IF(AND(AD39&gt;0,AK39  &gt; Assumptions!$B$13), "ENTER", "DONT ENTER")</f>
        <v>DONT ENTER</v>
      </c>
    </row>
    <row r="40" spans="1:38" x14ac:dyDescent="0.3">
      <c r="A40" s="25">
        <v>45877</v>
      </c>
      <c r="B40" s="3" t="s">
        <v>26</v>
      </c>
      <c r="C40" s="26">
        <f>VLOOKUP(A40, Raw_Data_Reliance!A:N, 8, FALSE)</f>
        <v>1367.8</v>
      </c>
      <c r="E40" s="36"/>
      <c r="L40" s="37"/>
      <c r="M40" s="37"/>
      <c r="P40" s="26">
        <f>VLOOKUP(A40, Raw_Data_Reliance!AB:AP, 8, FALSE)</f>
        <v>1368.3</v>
      </c>
      <c r="Q40" s="25">
        <f>Assumptions!$B$31</f>
        <v>45897</v>
      </c>
      <c r="R40" s="3">
        <f t="shared" si="5"/>
        <v>20</v>
      </c>
      <c r="S40" s="3">
        <f>C40*(1+(Assumptions!$B$19*R40/365))</f>
        <v>1368.1747397260272</v>
      </c>
      <c r="T40" s="26">
        <f t="shared" si="6"/>
        <v>0.12526027397279904</v>
      </c>
      <c r="U40" s="3">
        <f>(C40*Assumptions!$B$16)+(P40*Assumptions!$B$17)</f>
        <v>0.95755999999999997</v>
      </c>
      <c r="V40" s="26">
        <f t="shared" si="7"/>
        <v>-0.83229972602720093</v>
      </c>
      <c r="W40" s="26">
        <f>C40+(P40*Assumptions!$B$15)</f>
        <v>1819.3389999999999</v>
      </c>
      <c r="X40" s="7">
        <f t="shared" si="8"/>
        <v>-4.574736901848424E-4</v>
      </c>
      <c r="Y40" s="27">
        <f t="shared" si="9"/>
        <v>-8.3488948458733739E-3</v>
      </c>
      <c r="Z40" s="28" t="str">
        <f>IF(AND(R40&gt;0,Y40  &gt; Assumptions!$B$13), "ENTER", "DONT ENTER")</f>
        <v>DONT ENTER</v>
      </c>
      <c r="AB40" s="26">
        <f>VLOOKUP(A40, Raw_Data_Reliance!AQ:BE, 8, FALSE)</f>
        <v>1376.1</v>
      </c>
      <c r="AC40" s="25">
        <f>Assumptions!$B$32</f>
        <v>45930</v>
      </c>
      <c r="AD40" s="3">
        <f t="shared" si="10"/>
        <v>53</v>
      </c>
      <c r="AE40" s="3">
        <f>C40*(1+(Assumptions!$B$13*AD40/365))</f>
        <v>1380.6104775342467</v>
      </c>
      <c r="AF40" s="26">
        <f t="shared" si="11"/>
        <v>-4.5104775342467747</v>
      </c>
      <c r="AG40" s="3">
        <f>(C40*Assumptions!$B$16)+(AB40*Assumptions!$B$17)</f>
        <v>0.95911999999999997</v>
      </c>
      <c r="AH40" s="26">
        <f t="shared" si="12"/>
        <v>-5.4695975342467751</v>
      </c>
      <c r="AI40" s="26">
        <f>C40+(AB40*Assumptions!$B$15)</f>
        <v>1821.913</v>
      </c>
      <c r="AJ40" s="7">
        <f t="shared" si="13"/>
        <v>-3.0021178476945798E-3</v>
      </c>
      <c r="AK40" s="27">
        <f t="shared" si="14"/>
        <v>-2.0674962536009842E-2</v>
      </c>
      <c r="AL40" s="28" t="str">
        <f>IF(AND(AD40&gt;0,AK40  &gt; Assumptions!$B$13), "ENTER", "DONT ENTER")</f>
        <v>DONT ENTER</v>
      </c>
    </row>
    <row r="41" spans="1:38" x14ac:dyDescent="0.3">
      <c r="A41" s="25">
        <v>45878</v>
      </c>
      <c r="B41" s="3" t="s">
        <v>26</v>
      </c>
      <c r="C41" s="3" t="e">
        <f>VLOOKUP(A41, Raw_Data_Reliance!A:N, 8, FALSE)</f>
        <v>#N/A</v>
      </c>
      <c r="E41" s="36"/>
      <c r="L41" s="37"/>
      <c r="M41" s="37"/>
      <c r="P41" s="3" t="e">
        <f>VLOOKUP(A41, Raw_Data_Reliance!AB:AP, 8, FALSE)</f>
        <v>#N/A</v>
      </c>
      <c r="Q41" s="25">
        <f>Assumptions!$B$31</f>
        <v>45897</v>
      </c>
      <c r="R41" s="3">
        <f t="shared" si="5"/>
        <v>19</v>
      </c>
      <c r="S41" s="3" t="e">
        <f>C41*(1+(Assumptions!$B$19*R41/365))</f>
        <v>#N/A</v>
      </c>
      <c r="T41" s="3" t="e">
        <f t="shared" si="6"/>
        <v>#N/A</v>
      </c>
      <c r="U41" s="3" t="e">
        <f>(C41*Assumptions!$B$16)+(P41*Assumptions!$B$17)</f>
        <v>#N/A</v>
      </c>
      <c r="V41" s="3" t="e">
        <f t="shared" si="7"/>
        <v>#N/A</v>
      </c>
      <c r="W41" s="3" t="e">
        <f>C41+(P41*Assumptions!$B$15)</f>
        <v>#N/A</v>
      </c>
      <c r="X41" s="7" t="e">
        <f t="shared" si="8"/>
        <v>#N/A</v>
      </c>
      <c r="Y41" s="7" t="e">
        <f t="shared" si="9"/>
        <v>#N/A</v>
      </c>
      <c r="Z41" s="3" t="e">
        <f>IF(AND(R41&gt;0,Y41  &gt; Assumptions!$B$13), "ENTER", "DONT ENTER")</f>
        <v>#N/A</v>
      </c>
      <c r="AB41" s="3" t="e">
        <f>VLOOKUP(A41, Raw_Data_Reliance!AQ:BE, 8, FALSE)</f>
        <v>#N/A</v>
      </c>
      <c r="AC41" s="25">
        <f>Assumptions!$B$32</f>
        <v>45930</v>
      </c>
      <c r="AD41" s="3">
        <f t="shared" si="10"/>
        <v>52</v>
      </c>
      <c r="AE41" s="3" t="e">
        <f>C41*(1+(Assumptions!$B$13*AD41/365))</f>
        <v>#N/A</v>
      </c>
      <c r="AF41" s="3" t="e">
        <f t="shared" si="11"/>
        <v>#N/A</v>
      </c>
      <c r="AG41" s="3" t="e">
        <f>(C41*Assumptions!$B$16)+(AB41*Assumptions!$B$17)</f>
        <v>#N/A</v>
      </c>
      <c r="AH41" s="3" t="e">
        <f t="shared" si="12"/>
        <v>#N/A</v>
      </c>
      <c r="AI41" s="3" t="e">
        <f>C41+(AB41*Assumptions!$B$15)</f>
        <v>#N/A</v>
      </c>
      <c r="AJ41" s="7" t="e">
        <f t="shared" si="13"/>
        <v>#N/A</v>
      </c>
      <c r="AK41" s="7" t="e">
        <f t="shared" si="14"/>
        <v>#N/A</v>
      </c>
      <c r="AL41" s="3" t="e">
        <f>IF(AND(AD41&gt;0,AK41  &gt; Assumptions!$B$13), "ENTER", "DONT ENTER")</f>
        <v>#N/A</v>
      </c>
    </row>
    <row r="42" spans="1:38" x14ac:dyDescent="0.3">
      <c r="A42" s="25">
        <v>45879</v>
      </c>
      <c r="B42" s="3" t="s">
        <v>26</v>
      </c>
      <c r="C42" s="3" t="e">
        <f>VLOOKUP(A42, Raw_Data_Reliance!A:N, 8, FALSE)</f>
        <v>#N/A</v>
      </c>
      <c r="E42" s="36"/>
      <c r="L42" s="37"/>
      <c r="M42" s="37"/>
      <c r="P42" s="3" t="e">
        <f>VLOOKUP(A42, Raw_Data_Reliance!AB:AP, 8, FALSE)</f>
        <v>#N/A</v>
      </c>
      <c r="Q42" s="25">
        <f>Assumptions!$B$31</f>
        <v>45897</v>
      </c>
      <c r="R42" s="3">
        <f t="shared" si="5"/>
        <v>18</v>
      </c>
      <c r="S42" s="3" t="e">
        <f>C42*(1+(Assumptions!$B$19*R42/365))</f>
        <v>#N/A</v>
      </c>
      <c r="T42" s="3" t="e">
        <f t="shared" si="6"/>
        <v>#N/A</v>
      </c>
      <c r="U42" s="3" t="e">
        <f>(C42*Assumptions!$B$16)+(P42*Assumptions!$B$17)</f>
        <v>#N/A</v>
      </c>
      <c r="V42" s="3" t="e">
        <f t="shared" si="7"/>
        <v>#N/A</v>
      </c>
      <c r="W42" s="3" t="e">
        <f>C42+(P42*Assumptions!$B$15)</f>
        <v>#N/A</v>
      </c>
      <c r="X42" s="7" t="e">
        <f t="shared" si="8"/>
        <v>#N/A</v>
      </c>
      <c r="Y42" s="7" t="e">
        <f t="shared" si="9"/>
        <v>#N/A</v>
      </c>
      <c r="Z42" s="3" t="e">
        <f>IF(AND(R42&gt;0,Y42  &gt; Assumptions!$B$13), "ENTER", "DONT ENTER")</f>
        <v>#N/A</v>
      </c>
      <c r="AB42" s="3" t="e">
        <f>VLOOKUP(A42, Raw_Data_Reliance!AQ:BE, 8, FALSE)</f>
        <v>#N/A</v>
      </c>
      <c r="AC42" s="25">
        <f>Assumptions!$B$32</f>
        <v>45930</v>
      </c>
      <c r="AD42" s="3">
        <f t="shared" si="10"/>
        <v>51</v>
      </c>
      <c r="AE42" s="3" t="e">
        <f>C42*(1+(Assumptions!$B$13*AD42/365))</f>
        <v>#N/A</v>
      </c>
      <c r="AF42" s="3" t="e">
        <f t="shared" si="11"/>
        <v>#N/A</v>
      </c>
      <c r="AG42" s="3" t="e">
        <f>(C42*Assumptions!$B$16)+(AB42*Assumptions!$B$17)</f>
        <v>#N/A</v>
      </c>
      <c r="AH42" s="3" t="e">
        <f t="shared" si="12"/>
        <v>#N/A</v>
      </c>
      <c r="AI42" s="3" t="e">
        <f>C42+(AB42*Assumptions!$B$15)</f>
        <v>#N/A</v>
      </c>
      <c r="AJ42" s="7" t="e">
        <f t="shared" si="13"/>
        <v>#N/A</v>
      </c>
      <c r="AK42" s="7" t="e">
        <f t="shared" si="14"/>
        <v>#N/A</v>
      </c>
      <c r="AL42" s="3" t="e">
        <f>IF(AND(AD42&gt;0,AK42  &gt; Assumptions!$B$13), "ENTER", "DONT ENTER")</f>
        <v>#N/A</v>
      </c>
    </row>
    <row r="43" spans="1:38" x14ac:dyDescent="0.3">
      <c r="A43" s="25">
        <v>45880</v>
      </c>
      <c r="B43" s="3" t="s">
        <v>26</v>
      </c>
      <c r="C43" s="26">
        <f>VLOOKUP(A43, Raw_Data_Reliance!A:N, 8, FALSE)</f>
        <v>1386.2</v>
      </c>
      <c r="E43" s="36"/>
      <c r="L43" s="37"/>
      <c r="M43" s="37"/>
      <c r="P43" s="26">
        <f>VLOOKUP(A43, Raw_Data_Reliance!AB:AP, 8, FALSE)</f>
        <v>1383.1</v>
      </c>
      <c r="Q43" s="25">
        <f>Assumptions!$B$31</f>
        <v>45897</v>
      </c>
      <c r="R43" s="3">
        <f t="shared" si="5"/>
        <v>17</v>
      </c>
      <c r="S43" s="3">
        <f>C43*(1+(Assumptions!$B$19*R43/365))</f>
        <v>1386.5228136986302</v>
      </c>
      <c r="T43" s="26">
        <f t="shared" si="6"/>
        <v>-3.422813698630307</v>
      </c>
      <c r="U43" s="3">
        <f>(C43*Assumptions!$B$16)+(P43*Assumptions!$B$17)</f>
        <v>0.96972000000000003</v>
      </c>
      <c r="V43" s="26">
        <f t="shared" si="7"/>
        <v>-4.3925336986303067</v>
      </c>
      <c r="W43" s="26">
        <f>C43+(P43*Assumptions!$B$15)</f>
        <v>1842.623</v>
      </c>
      <c r="X43" s="7">
        <f t="shared" si="8"/>
        <v>-2.3838482959511018E-3</v>
      </c>
      <c r="Y43" s="27">
        <f t="shared" si="9"/>
        <v>-5.1182625177773652E-2</v>
      </c>
      <c r="Z43" s="28" t="str">
        <f>IF(AND(R43&gt;0,Y43  &gt; Assumptions!$B$13), "ENTER", "DONT ENTER")</f>
        <v>DONT ENTER</v>
      </c>
      <c r="AB43" s="26">
        <f>VLOOKUP(A43, Raw_Data_Reliance!AQ:BE, 8, FALSE)</f>
        <v>1390.4</v>
      </c>
      <c r="AC43" s="25">
        <f>Assumptions!$B$32</f>
        <v>45930</v>
      </c>
      <c r="AD43" s="3">
        <f t="shared" si="10"/>
        <v>50</v>
      </c>
      <c r="AE43" s="3">
        <f>C43*(1+(Assumptions!$B$13*AD43/365))</f>
        <v>1398.4479315068493</v>
      </c>
      <c r="AF43" s="26">
        <f t="shared" si="11"/>
        <v>-8.0479315068491815</v>
      </c>
      <c r="AG43" s="3">
        <f>(C43*Assumptions!$B$16)+(AB43*Assumptions!$B$17)</f>
        <v>0.97118000000000015</v>
      </c>
      <c r="AH43" s="26">
        <f t="shared" si="12"/>
        <v>-9.0191115068491818</v>
      </c>
      <c r="AI43" s="26">
        <f>C43+(AB43*Assumptions!$B$15)</f>
        <v>1845.0320000000002</v>
      </c>
      <c r="AJ43" s="7">
        <f t="shared" si="13"/>
        <v>-4.8883225368715451E-3</v>
      </c>
      <c r="AK43" s="27">
        <f t="shared" si="14"/>
        <v>-3.5684754519162282E-2</v>
      </c>
      <c r="AL43" s="28" t="str">
        <f>IF(AND(AD43&gt;0,AK43  &gt; Assumptions!$B$13), "ENTER", "DONT ENTER")</f>
        <v>DONT ENTER</v>
      </c>
    </row>
    <row r="44" spans="1:38" x14ac:dyDescent="0.3">
      <c r="A44" s="25">
        <v>45881</v>
      </c>
      <c r="B44" s="3" t="s">
        <v>26</v>
      </c>
      <c r="C44" s="26">
        <f>VLOOKUP(A44, Raw_Data_Reliance!A:N, 8, FALSE)</f>
        <v>1380.4</v>
      </c>
      <c r="E44" s="36"/>
      <c r="L44" s="37"/>
      <c r="M44" s="37"/>
      <c r="P44" s="26">
        <f>VLOOKUP(A44, Raw_Data_Reliance!AB:AP, 8, FALSE)</f>
        <v>1380</v>
      </c>
      <c r="Q44" s="25">
        <f>Assumptions!$B$31</f>
        <v>45897</v>
      </c>
      <c r="R44" s="3">
        <f t="shared" si="5"/>
        <v>16</v>
      </c>
      <c r="S44" s="3">
        <f>C44*(1+(Assumptions!$B$19*R44/365))</f>
        <v>1380.7025534246577</v>
      </c>
      <c r="T44" s="26">
        <f t="shared" si="6"/>
        <v>-0.70255342465770809</v>
      </c>
      <c r="U44" s="3">
        <f>(C44*Assumptions!$B$16)+(P44*Assumptions!$B$17)</f>
        <v>0.96620000000000006</v>
      </c>
      <c r="V44" s="26">
        <f t="shared" si="7"/>
        <v>-1.6687534246577083</v>
      </c>
      <c r="W44" s="26">
        <f>C44+(P44*Assumptions!$B$15)</f>
        <v>1835.8000000000002</v>
      </c>
      <c r="X44" s="7">
        <f t="shared" si="8"/>
        <v>-9.0900611431403639E-4</v>
      </c>
      <c r="Y44" s="27">
        <f t="shared" si="9"/>
        <v>-2.0736701982788954E-2</v>
      </c>
      <c r="Z44" s="28" t="str">
        <f>IF(AND(R44&gt;0,Y44  &gt; Assumptions!$B$13), "ENTER", "DONT ENTER")</f>
        <v>DONT ENTER</v>
      </c>
      <c r="AB44" s="26">
        <f>VLOOKUP(A44, Raw_Data_Reliance!AQ:BE, 8, FALSE)</f>
        <v>1387.8</v>
      </c>
      <c r="AC44" s="25">
        <f>Assumptions!$B$32</f>
        <v>45930</v>
      </c>
      <c r="AD44" s="3">
        <f t="shared" si="10"/>
        <v>49</v>
      </c>
      <c r="AE44" s="3">
        <f>C44*(1+(Assumptions!$B$13*AD44/365))</f>
        <v>1392.3527512328767</v>
      </c>
      <c r="AF44" s="26">
        <f t="shared" si="11"/>
        <v>-4.5527512328767443</v>
      </c>
      <c r="AG44" s="3">
        <f>(C44*Assumptions!$B$16)+(AB44*Assumptions!$B$17)</f>
        <v>0.96776000000000006</v>
      </c>
      <c r="AH44" s="26">
        <f t="shared" si="12"/>
        <v>-5.5205112328767445</v>
      </c>
      <c r="AI44" s="26">
        <f>C44+(AB44*Assumptions!$B$15)</f>
        <v>1838.374</v>
      </c>
      <c r="AJ44" s="7">
        <f t="shared" si="13"/>
        <v>-3.0029315214840637E-3</v>
      </c>
      <c r="AK44" s="27">
        <f t="shared" si="14"/>
        <v>-2.2368775619218025E-2</v>
      </c>
      <c r="AL44" s="28" t="str">
        <f>IF(AND(AD44&gt;0,AK44  &gt; Assumptions!$B$13), "ENTER", "DONT ENTER")</f>
        <v>DONT ENTER</v>
      </c>
    </row>
    <row r="45" spans="1:38" x14ac:dyDescent="0.3">
      <c r="A45" s="25">
        <v>45882</v>
      </c>
      <c r="B45" s="3" t="s">
        <v>26</v>
      </c>
      <c r="C45" s="26">
        <f>VLOOKUP(A45, Raw_Data_Reliance!A:N, 8, FALSE)</f>
        <v>1382.6</v>
      </c>
      <c r="E45" s="36"/>
      <c r="L45" s="37"/>
      <c r="M45" s="37"/>
      <c r="P45" s="26">
        <f>VLOOKUP(A45, Raw_Data_Reliance!AB:AP, 8, FALSE)</f>
        <v>1383.2</v>
      </c>
      <c r="Q45" s="25">
        <f>Assumptions!$B$31</f>
        <v>45897</v>
      </c>
      <c r="R45" s="3">
        <f t="shared" si="5"/>
        <v>15</v>
      </c>
      <c r="S45" s="3">
        <f>C45*(1+(Assumptions!$B$19*R45/365))</f>
        <v>1382.8840958904109</v>
      </c>
      <c r="T45" s="26">
        <f t="shared" si="6"/>
        <v>0.31590410958915527</v>
      </c>
      <c r="U45" s="3">
        <f>(C45*Assumptions!$B$16)+(P45*Assumptions!$B$17)</f>
        <v>0.96793999999999991</v>
      </c>
      <c r="V45" s="26">
        <f t="shared" si="7"/>
        <v>-0.65203589041084464</v>
      </c>
      <c r="W45" s="26">
        <f>C45+(P45*Assumptions!$B$15)</f>
        <v>1839.056</v>
      </c>
      <c r="X45" s="7">
        <f t="shared" si="8"/>
        <v>-3.5454923091566794E-4</v>
      </c>
      <c r="Y45" s="27">
        <f t="shared" si="9"/>
        <v>-8.6273646189479192E-3</v>
      </c>
      <c r="Z45" s="28" t="str">
        <f>IF(AND(R45&gt;0,Y45  &gt; Assumptions!$B$13), "ENTER", "DONT ENTER")</f>
        <v>DONT ENTER</v>
      </c>
      <c r="AB45" s="26">
        <f>VLOOKUP(A45, Raw_Data_Reliance!AQ:BE, 8, FALSE)</f>
        <v>1390.7</v>
      </c>
      <c r="AC45" s="25">
        <f>Assumptions!$B$32</f>
        <v>45930</v>
      </c>
      <c r="AD45" s="3">
        <f t="shared" si="10"/>
        <v>48</v>
      </c>
      <c r="AE45" s="3">
        <f>C45*(1+(Assumptions!$B$13*AD45/365))</f>
        <v>1394.3274783561644</v>
      </c>
      <c r="AF45" s="26">
        <f t="shared" si="11"/>
        <v>-3.6274783561643744</v>
      </c>
      <c r="AG45" s="3">
        <f>(C45*Assumptions!$B$16)+(AB45*Assumptions!$B$17)</f>
        <v>0.96943999999999986</v>
      </c>
      <c r="AH45" s="26">
        <f t="shared" si="12"/>
        <v>-4.5969183561643741</v>
      </c>
      <c r="AI45" s="26">
        <f>C45+(AB45*Assumptions!$B$15)</f>
        <v>1841.5309999999999</v>
      </c>
      <c r="AJ45" s="7">
        <f t="shared" si="13"/>
        <v>-2.4962481523060835E-3</v>
      </c>
      <c r="AK45" s="27">
        <f t="shared" si="14"/>
        <v>-1.8981886991494178E-2</v>
      </c>
      <c r="AL45" s="28" t="str">
        <f>IF(AND(AD45&gt;0,AK45  &gt; Assumptions!$B$13), "ENTER", "DONT ENTER")</f>
        <v>DONT ENTER</v>
      </c>
    </row>
    <row r="46" spans="1:38" x14ac:dyDescent="0.3">
      <c r="A46" s="25">
        <v>45883</v>
      </c>
      <c r="B46" s="3" t="s">
        <v>26</v>
      </c>
      <c r="C46" s="26">
        <f>VLOOKUP(A46, Raw_Data_Reliance!A:N, 8, FALSE)</f>
        <v>1373.8</v>
      </c>
      <c r="E46" s="36"/>
      <c r="L46" s="37"/>
      <c r="M46" s="37"/>
      <c r="P46" s="26">
        <f>VLOOKUP(A46, Raw_Data_Reliance!AB:AP, 8, FALSE)</f>
        <v>1376.5</v>
      </c>
      <c r="Q46" s="25">
        <f>Assumptions!$B$31</f>
        <v>45897</v>
      </c>
      <c r="R46" s="3">
        <f t="shared" si="5"/>
        <v>14</v>
      </c>
      <c r="S46" s="3">
        <f>C46*(1+(Assumptions!$B$19*R46/365))</f>
        <v>1374.0634684931506</v>
      </c>
      <c r="T46" s="26">
        <f t="shared" si="6"/>
        <v>2.4365315068494056</v>
      </c>
      <c r="U46" s="3">
        <f>(C46*Assumptions!$B$16)+(P46*Assumptions!$B$17)</f>
        <v>0.96219999999999994</v>
      </c>
      <c r="V46" s="26">
        <f t="shared" si="7"/>
        <v>1.4743315068494056</v>
      </c>
      <c r="W46" s="26">
        <f>C46+(P46*Assumptions!$B$15)</f>
        <v>1828.0450000000001</v>
      </c>
      <c r="X46" s="7">
        <f t="shared" si="8"/>
        <v>8.0650722867839993E-4</v>
      </c>
      <c r="Y46" s="27">
        <f t="shared" si="9"/>
        <v>2.1026795604829715E-2</v>
      </c>
      <c r="Z46" s="28" t="str">
        <f>IF(AND(R46&gt;0,Y46  &gt; Assumptions!$B$13), "ENTER", "DONT ENTER")</f>
        <v>DONT ENTER</v>
      </c>
      <c r="AB46" s="26">
        <f>VLOOKUP(A46, Raw_Data_Reliance!AQ:BE, 8, FALSE)</f>
        <v>1384.2</v>
      </c>
      <c r="AC46" s="25">
        <f>Assumptions!$B$32</f>
        <v>45930</v>
      </c>
      <c r="AD46" s="3">
        <f t="shared" si="10"/>
        <v>47</v>
      </c>
      <c r="AE46" s="3">
        <f>C46*(1+(Assumptions!$B$13*AD46/365))</f>
        <v>1385.2100676712328</v>
      </c>
      <c r="AF46" s="26">
        <f t="shared" si="11"/>
        <v>-1.0100676712327186</v>
      </c>
      <c r="AG46" s="3">
        <f>(C46*Assumptions!$B$16)+(AB46*Assumptions!$B$17)</f>
        <v>0.96374000000000004</v>
      </c>
      <c r="AH46" s="26">
        <f t="shared" si="12"/>
        <v>-1.9738076712327186</v>
      </c>
      <c r="AI46" s="26">
        <f>C46+(AB46*Assumptions!$B$15)</f>
        <v>1830.586</v>
      </c>
      <c r="AJ46" s="7">
        <f t="shared" si="13"/>
        <v>-1.0782381550130497E-3</v>
      </c>
      <c r="AK46" s="27">
        <f t="shared" si="14"/>
        <v>-8.3735516293566622E-3</v>
      </c>
      <c r="AL46" s="28" t="str">
        <f>IF(AND(AD46&gt;0,AK46  &gt; Assumptions!$B$13), "ENTER", "DONT ENTER")</f>
        <v>DONT ENTER</v>
      </c>
    </row>
    <row r="47" spans="1:38" x14ac:dyDescent="0.3">
      <c r="A47" s="25">
        <v>45884</v>
      </c>
      <c r="B47" s="3" t="s">
        <v>26</v>
      </c>
      <c r="C47" s="3" t="e">
        <f>VLOOKUP(A47, Raw_Data_Reliance!A:N, 8, FALSE)</f>
        <v>#N/A</v>
      </c>
      <c r="E47" s="36"/>
      <c r="L47" s="37"/>
      <c r="M47" s="37"/>
      <c r="P47" s="3" t="e">
        <f>VLOOKUP(A47, Raw_Data_Reliance!AB:AP, 8, FALSE)</f>
        <v>#N/A</v>
      </c>
      <c r="Q47" s="25">
        <f>Assumptions!$B$31</f>
        <v>45897</v>
      </c>
      <c r="R47" s="3">
        <f t="shared" si="5"/>
        <v>13</v>
      </c>
      <c r="S47" s="3" t="e">
        <f>C47*(1+(Assumptions!$B$19*R47/365))</f>
        <v>#N/A</v>
      </c>
      <c r="T47" s="3" t="e">
        <f t="shared" si="6"/>
        <v>#N/A</v>
      </c>
      <c r="U47" s="3" t="e">
        <f>(C47*Assumptions!$B$16)+(P47*Assumptions!$B$17)</f>
        <v>#N/A</v>
      </c>
      <c r="V47" s="3" t="e">
        <f t="shared" si="7"/>
        <v>#N/A</v>
      </c>
      <c r="W47" s="3" t="e">
        <f>C47+(P47*Assumptions!$B$15)</f>
        <v>#N/A</v>
      </c>
      <c r="X47" s="7" t="e">
        <f t="shared" si="8"/>
        <v>#N/A</v>
      </c>
      <c r="Y47" s="7" t="e">
        <f t="shared" si="9"/>
        <v>#N/A</v>
      </c>
      <c r="Z47" s="3" t="e">
        <f>IF(AND(R47&gt;0,Y47  &gt; Assumptions!$B$13), "ENTER", "DONT ENTER")</f>
        <v>#N/A</v>
      </c>
      <c r="AB47" s="3" t="e">
        <f>VLOOKUP(A47, Raw_Data_Reliance!AQ:BE, 8, FALSE)</f>
        <v>#N/A</v>
      </c>
      <c r="AC47" s="25">
        <f>Assumptions!$B$32</f>
        <v>45930</v>
      </c>
      <c r="AD47" s="3">
        <f t="shared" si="10"/>
        <v>46</v>
      </c>
      <c r="AE47" s="3" t="e">
        <f>C47*(1+(Assumptions!$B$13*AD47/365))</f>
        <v>#N/A</v>
      </c>
      <c r="AF47" s="3" t="e">
        <f t="shared" si="11"/>
        <v>#N/A</v>
      </c>
      <c r="AG47" s="3" t="e">
        <f>(C47*Assumptions!$B$16)+(AB47*Assumptions!$B$17)</f>
        <v>#N/A</v>
      </c>
      <c r="AH47" s="3" t="e">
        <f t="shared" si="12"/>
        <v>#N/A</v>
      </c>
      <c r="AI47" s="3" t="e">
        <f>C47+(AB47*Assumptions!$B$15)</f>
        <v>#N/A</v>
      </c>
      <c r="AJ47" s="7" t="e">
        <f t="shared" si="13"/>
        <v>#N/A</v>
      </c>
      <c r="AK47" s="7" t="e">
        <f t="shared" si="14"/>
        <v>#N/A</v>
      </c>
      <c r="AL47" s="3" t="e">
        <f>IF(AND(AD47&gt;0,AK47  &gt; Assumptions!$B$13), "ENTER", "DONT ENTER")</f>
        <v>#N/A</v>
      </c>
    </row>
    <row r="48" spans="1:38" x14ac:dyDescent="0.3">
      <c r="A48" s="25">
        <v>45885</v>
      </c>
      <c r="B48" s="3" t="s">
        <v>26</v>
      </c>
      <c r="C48" s="3" t="e">
        <f>VLOOKUP(A48, Raw_Data_Reliance!A:N, 8, FALSE)</f>
        <v>#N/A</v>
      </c>
      <c r="E48" s="36"/>
      <c r="L48" s="37"/>
      <c r="M48" s="37"/>
      <c r="P48" s="3" t="e">
        <f>VLOOKUP(A48, Raw_Data_Reliance!AB:AP, 8, FALSE)</f>
        <v>#N/A</v>
      </c>
      <c r="Q48" s="25">
        <f>Assumptions!$B$31</f>
        <v>45897</v>
      </c>
      <c r="R48" s="3">
        <f t="shared" si="5"/>
        <v>12</v>
      </c>
      <c r="S48" s="3" t="e">
        <f>C48*(1+(Assumptions!$B$19*R48/365))</f>
        <v>#N/A</v>
      </c>
      <c r="T48" s="3" t="e">
        <f t="shared" si="6"/>
        <v>#N/A</v>
      </c>
      <c r="U48" s="3" t="e">
        <f>(C48*Assumptions!$B$16)+(P48*Assumptions!$B$17)</f>
        <v>#N/A</v>
      </c>
      <c r="V48" s="3" t="e">
        <f t="shared" si="7"/>
        <v>#N/A</v>
      </c>
      <c r="W48" s="3" t="e">
        <f>C48+(P48*Assumptions!$B$15)</f>
        <v>#N/A</v>
      </c>
      <c r="X48" s="7" t="e">
        <f t="shared" si="8"/>
        <v>#N/A</v>
      </c>
      <c r="Y48" s="7" t="e">
        <f t="shared" si="9"/>
        <v>#N/A</v>
      </c>
      <c r="Z48" s="3" t="e">
        <f>IF(AND(R48&gt;0,Y48  &gt; Assumptions!$B$13), "ENTER", "DONT ENTER")</f>
        <v>#N/A</v>
      </c>
      <c r="AB48" s="3" t="e">
        <f>VLOOKUP(A48, Raw_Data_Reliance!AQ:BE, 8, FALSE)</f>
        <v>#N/A</v>
      </c>
      <c r="AC48" s="25">
        <f>Assumptions!$B$32</f>
        <v>45930</v>
      </c>
      <c r="AD48" s="3">
        <f t="shared" si="10"/>
        <v>45</v>
      </c>
      <c r="AE48" s="3" t="e">
        <f>C48*(1+(Assumptions!$B$13*AD48/365))</f>
        <v>#N/A</v>
      </c>
      <c r="AF48" s="3" t="e">
        <f t="shared" si="11"/>
        <v>#N/A</v>
      </c>
      <c r="AG48" s="3" t="e">
        <f>(C48*Assumptions!$B$16)+(AB48*Assumptions!$B$17)</f>
        <v>#N/A</v>
      </c>
      <c r="AH48" s="3" t="e">
        <f t="shared" si="12"/>
        <v>#N/A</v>
      </c>
      <c r="AI48" s="3" t="e">
        <f>C48+(AB48*Assumptions!$B$15)</f>
        <v>#N/A</v>
      </c>
      <c r="AJ48" s="7" t="e">
        <f t="shared" si="13"/>
        <v>#N/A</v>
      </c>
      <c r="AK48" s="7" t="e">
        <f t="shared" si="14"/>
        <v>#N/A</v>
      </c>
      <c r="AL48" s="3" t="e">
        <f>IF(AND(AD48&gt;0,AK48  &gt; Assumptions!$B$13), "ENTER", "DONT ENTER")</f>
        <v>#N/A</v>
      </c>
    </row>
    <row r="49" spans="1:38" x14ac:dyDescent="0.3">
      <c r="A49" s="25">
        <v>45886</v>
      </c>
      <c r="B49" s="3" t="s">
        <v>26</v>
      </c>
      <c r="C49" s="3" t="e">
        <f>VLOOKUP(A49, Raw_Data_Reliance!A:N, 8, FALSE)</f>
        <v>#N/A</v>
      </c>
      <c r="E49" s="36"/>
      <c r="L49" s="37"/>
      <c r="M49" s="37"/>
      <c r="P49" s="3" t="e">
        <f>VLOOKUP(A49, Raw_Data_Reliance!AB:AP, 8, FALSE)</f>
        <v>#N/A</v>
      </c>
      <c r="Q49" s="25">
        <f>Assumptions!$B$31</f>
        <v>45897</v>
      </c>
      <c r="R49" s="3">
        <f t="shared" si="5"/>
        <v>11</v>
      </c>
      <c r="S49" s="3" t="e">
        <f>C49*(1+(Assumptions!$B$19*R49/365))</f>
        <v>#N/A</v>
      </c>
      <c r="T49" s="3" t="e">
        <f t="shared" si="6"/>
        <v>#N/A</v>
      </c>
      <c r="U49" s="3" t="e">
        <f>(C49*Assumptions!$B$16)+(P49*Assumptions!$B$17)</f>
        <v>#N/A</v>
      </c>
      <c r="V49" s="3" t="e">
        <f t="shared" si="7"/>
        <v>#N/A</v>
      </c>
      <c r="W49" s="3" t="e">
        <f>C49+(P49*Assumptions!$B$15)</f>
        <v>#N/A</v>
      </c>
      <c r="X49" s="7" t="e">
        <f t="shared" si="8"/>
        <v>#N/A</v>
      </c>
      <c r="Y49" s="7" t="e">
        <f t="shared" si="9"/>
        <v>#N/A</v>
      </c>
      <c r="Z49" s="3" t="e">
        <f>IF(AND(R49&gt;0,Y49  &gt; Assumptions!$B$13), "ENTER", "DONT ENTER")</f>
        <v>#N/A</v>
      </c>
      <c r="AB49" s="3" t="e">
        <f>VLOOKUP(A49, Raw_Data_Reliance!AQ:BE, 8, FALSE)</f>
        <v>#N/A</v>
      </c>
      <c r="AC49" s="25">
        <f>Assumptions!$B$32</f>
        <v>45930</v>
      </c>
      <c r="AD49" s="3">
        <f t="shared" si="10"/>
        <v>44</v>
      </c>
      <c r="AE49" s="3" t="e">
        <f>C49*(1+(Assumptions!$B$13*AD49/365))</f>
        <v>#N/A</v>
      </c>
      <c r="AF49" s="3" t="e">
        <f t="shared" si="11"/>
        <v>#N/A</v>
      </c>
      <c r="AG49" s="3" t="e">
        <f>(C49*Assumptions!$B$16)+(AB49*Assumptions!$B$17)</f>
        <v>#N/A</v>
      </c>
      <c r="AH49" s="3" t="e">
        <f t="shared" si="12"/>
        <v>#N/A</v>
      </c>
      <c r="AI49" s="3" t="e">
        <f>C49+(AB49*Assumptions!$B$15)</f>
        <v>#N/A</v>
      </c>
      <c r="AJ49" s="7" t="e">
        <f t="shared" si="13"/>
        <v>#N/A</v>
      </c>
      <c r="AK49" s="7" t="e">
        <f t="shared" si="14"/>
        <v>#N/A</v>
      </c>
      <c r="AL49" s="3" t="e">
        <f>IF(AND(AD49&gt;0,AK49  &gt; Assumptions!$B$13), "ENTER", "DONT ENTER")</f>
        <v>#N/A</v>
      </c>
    </row>
    <row r="50" spans="1:38" x14ac:dyDescent="0.3">
      <c r="A50" s="25">
        <v>45887</v>
      </c>
      <c r="B50" s="3" t="s">
        <v>26</v>
      </c>
      <c r="C50" s="26">
        <f>VLOOKUP(A50, Raw_Data_Reliance!A:N, 8, FALSE)</f>
        <v>1381.7</v>
      </c>
      <c r="E50" s="36"/>
      <c r="L50" s="37"/>
      <c r="M50" s="37"/>
      <c r="P50" s="26">
        <f>VLOOKUP(A50, Raw_Data_Reliance!AB:AP, 8, FALSE)</f>
        <v>1386.6</v>
      </c>
      <c r="Q50" s="25">
        <f>Assumptions!$B$31</f>
        <v>45897</v>
      </c>
      <c r="R50" s="3">
        <f t="shared" si="5"/>
        <v>10</v>
      </c>
      <c r="S50" s="3">
        <f>C50*(1+(Assumptions!$B$19*R50/365))</f>
        <v>1381.8892739726027</v>
      </c>
      <c r="T50" s="26">
        <f t="shared" si="6"/>
        <v>4.710726027397186</v>
      </c>
      <c r="U50" s="3">
        <f>(C50*Assumptions!$B$16)+(P50*Assumptions!$B$17)</f>
        <v>0.96817000000000009</v>
      </c>
      <c r="V50" s="26">
        <f t="shared" si="7"/>
        <v>3.7425560273971858</v>
      </c>
      <c r="W50" s="26">
        <f>C50+(P50*Assumptions!$B$15)</f>
        <v>1839.278</v>
      </c>
      <c r="X50" s="7">
        <f t="shared" si="8"/>
        <v>2.0347962773420796E-3</v>
      </c>
      <c r="Y50" s="29">
        <f t="shared" si="9"/>
        <v>7.427006412298591E-2</v>
      </c>
      <c r="Z50" s="30" t="str">
        <f>IF(AND(R50&gt;0,Y50  &gt; Assumptions!$B$13), "ENTER", "DONT ENTER")</f>
        <v>ENTER</v>
      </c>
      <c r="AB50" s="26">
        <f>VLOOKUP(A50, Raw_Data_Reliance!AQ:BE, 8, FALSE)</f>
        <v>1393.6</v>
      </c>
      <c r="AC50" s="25">
        <f>Assumptions!$B$32</f>
        <v>45930</v>
      </c>
      <c r="AD50" s="3">
        <f t="shared" si="10"/>
        <v>43</v>
      </c>
      <c r="AE50" s="3">
        <f>C50*(1+(Assumptions!$B$13*AD50/365))</f>
        <v>1392.1990272602741</v>
      </c>
      <c r="AF50" s="26">
        <f t="shared" si="11"/>
        <v>1.4009727397258303</v>
      </c>
      <c r="AG50" s="3">
        <f>(C50*Assumptions!$B$16)+(AB50*Assumptions!$B$17)</f>
        <v>0.96957000000000004</v>
      </c>
      <c r="AH50" s="26">
        <f t="shared" si="12"/>
        <v>0.43140273972583021</v>
      </c>
      <c r="AI50" s="26">
        <f>C50+(AB50*Assumptions!$B$15)</f>
        <v>1841.588</v>
      </c>
      <c r="AJ50" s="7">
        <f t="shared" si="13"/>
        <v>2.3425583774754733E-4</v>
      </c>
      <c r="AK50" s="27">
        <f t="shared" si="14"/>
        <v>1.9884507157640649E-3</v>
      </c>
      <c r="AL50" s="28" t="str">
        <f>IF(AND(AD50&gt;0,AK50  &gt; Assumptions!$B$13), "ENTER", "DONT ENTER")</f>
        <v>DONT ENTER</v>
      </c>
    </row>
    <row r="51" spans="1:38" x14ac:dyDescent="0.3">
      <c r="A51" s="38">
        <v>45888</v>
      </c>
      <c r="B51" s="3" t="s">
        <v>26</v>
      </c>
      <c r="C51" s="32">
        <f>VLOOKUP(A51, Raw_Data_Reliance!A:N, 8, FALSE)</f>
        <v>1420.1</v>
      </c>
      <c r="D51" s="31"/>
      <c r="E51" s="36"/>
      <c r="F51" s="31"/>
      <c r="G51" s="31"/>
      <c r="H51" s="31"/>
      <c r="I51" s="31"/>
      <c r="J51" s="31"/>
      <c r="K51" s="31"/>
      <c r="L51" s="39"/>
      <c r="M51" s="39"/>
      <c r="N51" s="31"/>
      <c r="O51" s="31"/>
      <c r="P51" s="26">
        <f>VLOOKUP(A51, Raw_Data_Reliance!AB:AP, 8, FALSE)</f>
        <v>1421.2</v>
      </c>
      <c r="Q51" s="25">
        <f>Assumptions!$B$31</f>
        <v>45897</v>
      </c>
      <c r="R51" s="3">
        <f t="shared" si="5"/>
        <v>9</v>
      </c>
      <c r="S51" s="3">
        <f>C51*(1+(Assumptions!$B$19*R51/365))</f>
        <v>1420.2750808219178</v>
      </c>
      <c r="T51" s="26">
        <f t="shared" si="6"/>
        <v>0.92491917808229118</v>
      </c>
      <c r="U51" s="3">
        <f>(C51*Assumptions!$B$16)+(P51*Assumptions!$B$17)</f>
        <v>0.99429000000000001</v>
      </c>
      <c r="V51" s="26">
        <f t="shared" si="7"/>
        <v>-6.9370821917708825E-2</v>
      </c>
      <c r="W51" s="26">
        <f>C51+(P51*Assumptions!$B$15)</f>
        <v>1889.096</v>
      </c>
      <c r="X51" s="7">
        <f t="shared" si="8"/>
        <v>-3.6721702823842103E-5</v>
      </c>
      <c r="Y51" s="27">
        <f t="shared" si="9"/>
        <v>-1.4892690589669297E-3</v>
      </c>
      <c r="Z51" s="28" t="str">
        <f>IF(AND(R51&gt;0,Y51  &gt; Assumptions!$B$13), "ENTER", "DONT ENTER")</f>
        <v>DONT ENTER</v>
      </c>
      <c r="AB51" s="32">
        <f>VLOOKUP(A51, Raw_Data_Reliance!AQ:BE, 8, FALSE)</f>
        <v>1429.5</v>
      </c>
      <c r="AC51" s="25">
        <f>Assumptions!$B$32</f>
        <v>45930</v>
      </c>
      <c r="AD51" s="33">
        <f t="shared" si="10"/>
        <v>42</v>
      </c>
      <c r="AE51" s="33">
        <f>C51*(1+(Assumptions!$B$13*AD51/365))</f>
        <v>1430.6398654794518</v>
      </c>
      <c r="AF51" s="32">
        <f t="shared" si="11"/>
        <v>-1.1398654794518279</v>
      </c>
      <c r="AG51" s="33">
        <f>(C51*Assumptions!$B$16)+(AB51*Assumptions!$B$17)</f>
        <v>0.99594999999999989</v>
      </c>
      <c r="AH51" s="32">
        <f t="shared" si="12"/>
        <v>-2.1358154794518276</v>
      </c>
      <c r="AI51" s="32">
        <f>C51+(AB51*Assumptions!$B$15)</f>
        <v>1891.835</v>
      </c>
      <c r="AJ51" s="34">
        <f t="shared" si="13"/>
        <v>-1.1289649887288413E-3</v>
      </c>
      <c r="AK51" s="35">
        <f t="shared" si="14"/>
        <v>-9.8112433544292159E-3</v>
      </c>
      <c r="AL51" s="28" t="str">
        <f>IF(AND(AD51&gt;0,AK51  &gt; Assumptions!$B$13), "ENTER", "DONT ENTER")</f>
        <v>DONT ENTER</v>
      </c>
    </row>
    <row r="52" spans="1:38" x14ac:dyDescent="0.3">
      <c r="A52" s="38">
        <v>45889</v>
      </c>
      <c r="B52" s="3" t="s">
        <v>26</v>
      </c>
      <c r="C52" s="32">
        <f>VLOOKUP(A52, Raw_Data_Reliance!A:N, 8, FALSE)</f>
        <v>1413</v>
      </c>
      <c r="D52" s="31"/>
      <c r="E52" s="36"/>
      <c r="F52" s="31"/>
      <c r="G52" s="31"/>
      <c r="H52" s="31"/>
      <c r="I52" s="31"/>
      <c r="J52" s="31"/>
      <c r="K52" s="31"/>
      <c r="L52" s="39"/>
      <c r="M52" s="39"/>
      <c r="N52" s="31"/>
      <c r="O52" s="31"/>
      <c r="P52" s="26">
        <f>VLOOKUP(A52, Raw_Data_Reliance!AB:AP, 8, FALSE)</f>
        <v>1415.5</v>
      </c>
      <c r="Q52" s="25">
        <f>Assumptions!$B$31</f>
        <v>45897</v>
      </c>
      <c r="R52" s="3">
        <f t="shared" si="5"/>
        <v>8</v>
      </c>
      <c r="S52" s="3">
        <f>C52*(1+(Assumptions!$B$19*R52/365))</f>
        <v>1413.1548493150683</v>
      </c>
      <c r="T52" s="26">
        <f t="shared" si="6"/>
        <v>2.3451506849316957</v>
      </c>
      <c r="U52" s="3">
        <f>(C52*Assumptions!$B$16)+(P52*Assumptions!$B$17)</f>
        <v>0.98960000000000004</v>
      </c>
      <c r="V52" s="26">
        <f t="shared" si="7"/>
        <v>1.3555506849316956</v>
      </c>
      <c r="W52" s="26">
        <f>C52+(P52*Assumptions!$B$15)</f>
        <v>1880.115</v>
      </c>
      <c r="X52" s="7">
        <f t="shared" si="8"/>
        <v>7.2099349504242856E-4</v>
      </c>
      <c r="Y52" s="27">
        <f t="shared" si="9"/>
        <v>3.2895328211310804E-2</v>
      </c>
      <c r="Z52" s="28" t="str">
        <f>IF(AND(R52&gt;0,Y52  &gt; Assumptions!$B$13), "ENTER", "DONT ENTER")</f>
        <v>DONT ENTER</v>
      </c>
      <c r="AB52" s="32">
        <f>VLOOKUP(A52, Raw_Data_Reliance!AQ:BE, 8, FALSE)</f>
        <v>1423.9</v>
      </c>
      <c r="AC52" s="25">
        <f>Assumptions!$B$32</f>
        <v>45930</v>
      </c>
      <c r="AD52" s="33">
        <f t="shared" si="10"/>
        <v>41</v>
      </c>
      <c r="AE52" s="33">
        <f>C52*(1+(Assumptions!$B$13*AD52/365))</f>
        <v>1423.2374753424658</v>
      </c>
      <c r="AF52" s="32">
        <f t="shared" si="11"/>
        <v>0.66252465753427714</v>
      </c>
      <c r="AG52" s="33">
        <f>(C52*Assumptions!$B$16)+(AB52*Assumptions!$B$17)</f>
        <v>0.99128000000000005</v>
      </c>
      <c r="AH52" s="32">
        <f t="shared" si="12"/>
        <v>-0.32875534246572291</v>
      </c>
      <c r="AI52" s="32">
        <f>C52+(AB52*Assumptions!$B$15)</f>
        <v>1882.8870000000002</v>
      </c>
      <c r="AJ52" s="34">
        <f t="shared" si="13"/>
        <v>-1.74601737898091E-4</v>
      </c>
      <c r="AK52" s="35">
        <f t="shared" si="14"/>
        <v>-1.5543813251903222E-3</v>
      </c>
      <c r="AL52" s="28" t="str">
        <f>IF(AND(AD52&gt;0,AK52  &gt; Assumptions!$B$13), "ENTER", "DONT ENTER")</f>
        <v>DONT ENTER</v>
      </c>
    </row>
    <row r="53" spans="1:38" x14ac:dyDescent="0.3">
      <c r="A53" s="38">
        <v>45890</v>
      </c>
      <c r="B53" s="3" t="s">
        <v>26</v>
      </c>
      <c r="C53" s="32">
        <f>VLOOKUP(A53, Raw_Data_Reliance!A:N, 8, FALSE)</f>
        <v>1424.8</v>
      </c>
      <c r="D53" s="31"/>
      <c r="E53" s="36"/>
      <c r="F53" s="31"/>
      <c r="G53" s="31"/>
      <c r="H53" s="31"/>
      <c r="I53" s="31"/>
      <c r="J53" s="31"/>
      <c r="K53" s="31"/>
      <c r="L53" s="39"/>
      <c r="M53" s="39"/>
      <c r="N53" s="31"/>
      <c r="O53" s="31"/>
      <c r="P53" s="26">
        <f>VLOOKUP(A53, Raw_Data_Reliance!AB:AP, 8, FALSE)</f>
        <v>1424.8</v>
      </c>
      <c r="Q53" s="25">
        <f>Assumptions!$B$31</f>
        <v>45897</v>
      </c>
      <c r="R53" s="3">
        <f t="shared" si="5"/>
        <v>7</v>
      </c>
      <c r="S53" s="3">
        <f>C53*(1+(Assumptions!$B$19*R53/365))</f>
        <v>1424.9366246575341</v>
      </c>
      <c r="T53" s="26">
        <f t="shared" si="6"/>
        <v>-0.13662465753418473</v>
      </c>
      <c r="U53" s="3">
        <f>(C53*Assumptions!$B$16)+(P53*Assumptions!$B$17)</f>
        <v>0.99736000000000002</v>
      </c>
      <c r="V53" s="26">
        <f t="shared" si="7"/>
        <v>-1.1339846575341848</v>
      </c>
      <c r="W53" s="26">
        <f>C53+(P53*Assumptions!$B$15)</f>
        <v>1894.9839999999999</v>
      </c>
      <c r="X53" s="7">
        <f t="shared" si="8"/>
        <v>-5.9841384282621106E-4</v>
      </c>
      <c r="Y53" s="27">
        <f t="shared" si="9"/>
        <v>-3.1203007518795293E-2</v>
      </c>
      <c r="Z53" s="28" t="str">
        <f>IF(AND(R53&gt;0,Y53  &gt; Assumptions!$B$13), "ENTER", "DONT ENTER")</f>
        <v>DONT ENTER</v>
      </c>
      <c r="AB53" s="32">
        <f>VLOOKUP(A53, Raw_Data_Reliance!AQ:BE, 8, FALSE)</f>
        <v>1433.6</v>
      </c>
      <c r="AC53" s="25">
        <f>Assumptions!$B$32</f>
        <v>45930</v>
      </c>
      <c r="AD53" s="33">
        <f t="shared" si="10"/>
        <v>40</v>
      </c>
      <c r="AE53" s="33">
        <f>C53*(1+(Assumptions!$B$13*AD53/365))</f>
        <v>1434.8711890410959</v>
      </c>
      <c r="AF53" s="32">
        <f t="shared" si="11"/>
        <v>-1.2711890410960223</v>
      </c>
      <c r="AG53" s="33">
        <f>(C53*Assumptions!$B$16)+(AB53*Assumptions!$B$17)</f>
        <v>0.99912000000000001</v>
      </c>
      <c r="AH53" s="32">
        <f t="shared" si="12"/>
        <v>-2.2703090410960223</v>
      </c>
      <c r="AI53" s="32">
        <f>C53+(AB53*Assumptions!$B$15)</f>
        <v>1897.8879999999999</v>
      </c>
      <c r="AJ53" s="34">
        <f t="shared" si="13"/>
        <v>-1.1962291985069837E-3</v>
      </c>
      <c r="AK53" s="35">
        <f t="shared" si="14"/>
        <v>-1.0915591436376226E-2</v>
      </c>
      <c r="AL53" s="28" t="str">
        <f>IF(AND(AD53&gt;0,AK53  &gt; Assumptions!$B$13), "ENTER", "DONT ENTER")</f>
        <v>DONT ENTER</v>
      </c>
    </row>
    <row r="54" spans="1:38" x14ac:dyDescent="0.3">
      <c r="A54" s="38">
        <v>45891</v>
      </c>
      <c r="B54" s="3" t="s">
        <v>26</v>
      </c>
      <c r="C54" s="32">
        <f>VLOOKUP(A54, Raw_Data_Reliance!A:N, 8, FALSE)</f>
        <v>1409.2</v>
      </c>
      <c r="D54" s="31"/>
      <c r="E54" s="36"/>
      <c r="F54" s="31"/>
      <c r="G54" s="31"/>
      <c r="H54" s="31"/>
      <c r="I54" s="31"/>
      <c r="J54" s="31"/>
      <c r="K54" s="31"/>
      <c r="L54" s="39"/>
      <c r="M54" s="39"/>
      <c r="N54" s="31"/>
      <c r="O54" s="31"/>
      <c r="P54" s="26">
        <f>VLOOKUP(A54, Raw_Data_Reliance!AB:AP, 8, FALSE)</f>
        <v>1411.5</v>
      </c>
      <c r="Q54" s="25">
        <f>Assumptions!$B$31</f>
        <v>45897</v>
      </c>
      <c r="R54" s="3">
        <f t="shared" si="5"/>
        <v>6</v>
      </c>
      <c r="S54" s="3">
        <f>C54*(1+(Assumptions!$B$19*R54/365))</f>
        <v>1409.3158246575344</v>
      </c>
      <c r="T54" s="26">
        <f t="shared" si="6"/>
        <v>2.1841753424655508</v>
      </c>
      <c r="U54" s="3">
        <f>(C54*Assumptions!$B$16)+(P54*Assumptions!$B$17)</f>
        <v>0.9869</v>
      </c>
      <c r="V54" s="26">
        <f t="shared" si="7"/>
        <v>1.1972753424655509</v>
      </c>
      <c r="W54" s="26">
        <f>C54+(P54*Assumptions!$B$15)</f>
        <v>1874.9950000000001</v>
      </c>
      <c r="X54" s="7">
        <f t="shared" si="8"/>
        <v>6.3854855211109942E-4</v>
      </c>
      <c r="Y54" s="27">
        <f t="shared" si="9"/>
        <v>3.8845036920091884E-2</v>
      </c>
      <c r="Z54" s="28" t="str">
        <f>IF(AND(R54&gt;0,Y54  &gt; Assumptions!$B$13), "ENTER", "DONT ENTER")</f>
        <v>DONT ENTER</v>
      </c>
      <c r="AB54" s="32">
        <f>VLOOKUP(A54, Raw_Data_Reliance!AQ:BE, 8, FALSE)</f>
        <v>1419.8</v>
      </c>
      <c r="AC54" s="25">
        <f>Assumptions!$B$32</f>
        <v>45930</v>
      </c>
      <c r="AD54" s="33">
        <f t="shared" si="10"/>
        <v>39</v>
      </c>
      <c r="AE54" s="33">
        <f>C54*(1+(Assumptions!$B$13*AD54/365))</f>
        <v>1418.9118975342465</v>
      </c>
      <c r="AF54" s="32">
        <f t="shared" si="11"/>
        <v>0.88810246575349083</v>
      </c>
      <c r="AG54" s="33">
        <f>(C54*Assumptions!$B$16)+(AB54*Assumptions!$B$17)</f>
        <v>0.98855999999999999</v>
      </c>
      <c r="AH54" s="32">
        <f t="shared" si="12"/>
        <v>-0.10045753424650916</v>
      </c>
      <c r="AI54" s="32">
        <f>C54+(AB54*Assumptions!$B$15)</f>
        <v>1877.7339999999999</v>
      </c>
      <c r="AJ54" s="34">
        <f t="shared" si="13"/>
        <v>-5.34993424236389E-5</v>
      </c>
      <c r="AK54" s="35">
        <f t="shared" si="14"/>
        <v>-5.0069897396482562E-4</v>
      </c>
      <c r="AL54" s="28" t="str">
        <f>IF(AND(AD54&gt;0,AK54  &gt; Assumptions!$B$13), "ENTER", "DONT ENTER")</f>
        <v>DONT ENTER</v>
      </c>
    </row>
    <row r="55" spans="1:38" x14ac:dyDescent="0.3">
      <c r="A55" s="38">
        <v>45892</v>
      </c>
      <c r="B55" s="3" t="s">
        <v>26</v>
      </c>
      <c r="C55" s="33" t="e">
        <f>VLOOKUP(A55, Raw_Data_Reliance!A:N, 8, FALSE)</f>
        <v>#N/A</v>
      </c>
      <c r="D55" s="31"/>
      <c r="E55" s="36"/>
      <c r="F55" s="31"/>
      <c r="G55" s="31"/>
      <c r="H55" s="31"/>
      <c r="I55" s="31"/>
      <c r="J55" s="31"/>
      <c r="K55" s="31"/>
      <c r="L55" s="39"/>
      <c r="M55" s="39"/>
      <c r="N55" s="31"/>
      <c r="O55" s="31"/>
      <c r="P55" s="3" t="e">
        <f>VLOOKUP(A55, Raw_Data_Reliance!AB:AP, 8, FALSE)</f>
        <v>#N/A</v>
      </c>
      <c r="Q55" s="25">
        <f>Assumptions!$B$31</f>
        <v>45897</v>
      </c>
      <c r="R55" s="3">
        <f t="shared" si="5"/>
        <v>5</v>
      </c>
      <c r="S55" s="3" t="e">
        <f>C55*(1+(Assumptions!$B$19*R55/365))</f>
        <v>#N/A</v>
      </c>
      <c r="T55" s="3" t="e">
        <f t="shared" si="6"/>
        <v>#N/A</v>
      </c>
      <c r="U55" s="3" t="e">
        <f>(C55*Assumptions!$B$16)+(P55*Assumptions!$B$17)</f>
        <v>#N/A</v>
      </c>
      <c r="V55" s="3" t="e">
        <f t="shared" si="7"/>
        <v>#N/A</v>
      </c>
      <c r="W55" s="3" t="e">
        <f>C55+(P55*Assumptions!$B$15)</f>
        <v>#N/A</v>
      </c>
      <c r="X55" s="7" t="e">
        <f t="shared" si="8"/>
        <v>#N/A</v>
      </c>
      <c r="Y55" s="7" t="e">
        <f t="shared" si="9"/>
        <v>#N/A</v>
      </c>
      <c r="Z55" s="3" t="e">
        <f>IF(AND(R55&gt;0,Y55  &gt; Assumptions!$B$13), "ENTER", "DONT ENTER")</f>
        <v>#N/A</v>
      </c>
      <c r="AB55" s="33" t="e">
        <f>VLOOKUP(A55, Raw_Data_Reliance!AQ:BE, 8, FALSE)</f>
        <v>#N/A</v>
      </c>
      <c r="AC55" s="25">
        <f>Assumptions!$B$32</f>
        <v>45930</v>
      </c>
      <c r="AD55" s="33">
        <f t="shared" si="10"/>
        <v>38</v>
      </c>
      <c r="AE55" s="33" t="e">
        <f>C55*(1+(Assumptions!$B$13*AD55/365))</f>
        <v>#N/A</v>
      </c>
      <c r="AF55" s="33" t="e">
        <f t="shared" si="11"/>
        <v>#N/A</v>
      </c>
      <c r="AG55" s="33" t="e">
        <f>(C55*Assumptions!$B$16)+(AB55*Assumptions!$B$17)</f>
        <v>#N/A</v>
      </c>
      <c r="AH55" s="33" t="e">
        <f t="shared" si="12"/>
        <v>#N/A</v>
      </c>
      <c r="AI55" s="33" t="e">
        <f>C55+(AB55*Assumptions!$B$15)</f>
        <v>#N/A</v>
      </c>
      <c r="AJ55" s="34" t="e">
        <f t="shared" si="13"/>
        <v>#N/A</v>
      </c>
      <c r="AK55" s="34" t="e">
        <f t="shared" si="14"/>
        <v>#N/A</v>
      </c>
      <c r="AL55" s="33" t="e">
        <f>IF(AND(AD55&gt;0,AK55  &gt; Assumptions!$B$13), "ENTER", "DONT ENTER")</f>
        <v>#N/A</v>
      </c>
    </row>
    <row r="56" spans="1:38" x14ac:dyDescent="0.3">
      <c r="A56" s="38">
        <v>45893</v>
      </c>
      <c r="B56" s="3" t="s">
        <v>26</v>
      </c>
      <c r="C56" s="33" t="e">
        <f>VLOOKUP(A56, Raw_Data_Reliance!A:N, 8, FALSE)</f>
        <v>#N/A</v>
      </c>
      <c r="D56" s="31"/>
      <c r="E56" s="36"/>
      <c r="F56" s="31"/>
      <c r="G56" s="31"/>
      <c r="H56" s="31"/>
      <c r="I56" s="31"/>
      <c r="J56" s="31"/>
      <c r="K56" s="31"/>
      <c r="L56" s="39"/>
      <c r="M56" s="39"/>
      <c r="N56" s="31"/>
      <c r="O56" s="31"/>
      <c r="P56" s="3" t="e">
        <f>VLOOKUP(A56, Raw_Data_Reliance!AB:AP, 8, FALSE)</f>
        <v>#N/A</v>
      </c>
      <c r="Q56" s="25">
        <f>Assumptions!$B$31</f>
        <v>45897</v>
      </c>
      <c r="R56" s="3">
        <f t="shared" si="5"/>
        <v>4</v>
      </c>
      <c r="S56" s="3" t="e">
        <f>C56*(1+(Assumptions!$B$19*R56/365))</f>
        <v>#N/A</v>
      </c>
      <c r="T56" s="3" t="e">
        <f t="shared" si="6"/>
        <v>#N/A</v>
      </c>
      <c r="U56" s="3" t="e">
        <f>(C56*Assumptions!$B$16)+(P56*Assumptions!$B$17)</f>
        <v>#N/A</v>
      </c>
      <c r="V56" s="3" t="e">
        <f t="shared" si="7"/>
        <v>#N/A</v>
      </c>
      <c r="W56" s="3" t="e">
        <f>C56+(P56*Assumptions!$B$15)</f>
        <v>#N/A</v>
      </c>
      <c r="X56" s="7" t="e">
        <f t="shared" si="8"/>
        <v>#N/A</v>
      </c>
      <c r="Y56" s="7" t="e">
        <f t="shared" si="9"/>
        <v>#N/A</v>
      </c>
      <c r="Z56" s="3" t="e">
        <f>IF(AND(R56&gt;0,Y56  &gt; Assumptions!$B$13), "ENTER", "DONT ENTER")</f>
        <v>#N/A</v>
      </c>
      <c r="AB56" s="33" t="e">
        <f>VLOOKUP(A56, Raw_Data_Reliance!AQ:BE, 8, FALSE)</f>
        <v>#N/A</v>
      </c>
      <c r="AC56" s="25">
        <f>Assumptions!$B$32</f>
        <v>45930</v>
      </c>
      <c r="AD56" s="33">
        <f t="shared" si="10"/>
        <v>37</v>
      </c>
      <c r="AE56" s="33" t="e">
        <f>C56*(1+(Assumptions!$B$13*AD56/365))</f>
        <v>#N/A</v>
      </c>
      <c r="AF56" s="33" t="e">
        <f t="shared" si="11"/>
        <v>#N/A</v>
      </c>
      <c r="AG56" s="33" t="e">
        <f>(C56*Assumptions!$B$16)+(AB56*Assumptions!$B$17)</f>
        <v>#N/A</v>
      </c>
      <c r="AH56" s="33" t="e">
        <f t="shared" si="12"/>
        <v>#N/A</v>
      </c>
      <c r="AI56" s="33" t="e">
        <f>C56+(AB56*Assumptions!$B$15)</f>
        <v>#N/A</v>
      </c>
      <c r="AJ56" s="34" t="e">
        <f t="shared" si="13"/>
        <v>#N/A</v>
      </c>
      <c r="AK56" s="34" t="e">
        <f t="shared" si="14"/>
        <v>#N/A</v>
      </c>
      <c r="AL56" s="33" t="e">
        <f>IF(AND(AD56&gt;0,AK56  &gt; Assumptions!$B$13), "ENTER", "DONT ENTER")</f>
        <v>#N/A</v>
      </c>
    </row>
    <row r="57" spans="1:38" x14ac:dyDescent="0.3">
      <c r="A57" s="38">
        <v>45894</v>
      </c>
      <c r="B57" s="3" t="s">
        <v>26</v>
      </c>
      <c r="C57" s="32">
        <f>VLOOKUP(A57, Raw_Data_Reliance!A:N, 8, FALSE)</f>
        <v>1412.6</v>
      </c>
      <c r="D57" s="31"/>
      <c r="E57" s="36"/>
      <c r="F57" s="31"/>
      <c r="G57" s="31"/>
      <c r="H57" s="31"/>
      <c r="I57" s="31"/>
      <c r="J57" s="31"/>
      <c r="K57" s="31"/>
      <c r="L57" s="39"/>
      <c r="M57" s="39"/>
      <c r="N57" s="31"/>
      <c r="O57" s="31"/>
      <c r="P57" s="26">
        <f>VLOOKUP(A57, Raw_Data_Reliance!AB:AP, 8, FALSE)</f>
        <v>1412.2</v>
      </c>
      <c r="Q57" s="25">
        <f>Assumptions!$B$31</f>
        <v>45897</v>
      </c>
      <c r="R57" s="3">
        <f t="shared" si="5"/>
        <v>3</v>
      </c>
      <c r="S57" s="3">
        <f>C57*(1+(Assumptions!$B$19*R57/365))</f>
        <v>1412.6580520547943</v>
      </c>
      <c r="T57" s="26">
        <f t="shared" si="6"/>
        <v>-0.45805205479427968</v>
      </c>
      <c r="U57" s="3">
        <f>(C57*Assumptions!$B$16)+(P57*Assumptions!$B$17)</f>
        <v>0.98873999999999995</v>
      </c>
      <c r="V57" s="26">
        <f t="shared" si="7"/>
        <v>-1.4467920547942796</v>
      </c>
      <c r="W57" s="26">
        <f>C57+(P57*Assumptions!$B$15)</f>
        <v>1878.626</v>
      </c>
      <c r="X57" s="7">
        <f t="shared" si="8"/>
        <v>-7.7013309450325916E-4</v>
      </c>
      <c r="Y57" s="27">
        <f t="shared" si="9"/>
        <v>-9.3699526497896535E-2</v>
      </c>
      <c r="Z57" s="28" t="str">
        <f>IF(AND(R57&gt;0,Y57  &gt; Assumptions!$B$13), "ENTER", "DONT ENTER")</f>
        <v>DONT ENTER</v>
      </c>
      <c r="AB57" s="32">
        <f>VLOOKUP(A57, Raw_Data_Reliance!AQ:BE, 8, FALSE)</f>
        <v>1420.7</v>
      </c>
      <c r="AC57" s="25">
        <f>Assumptions!$B$32</f>
        <v>45930</v>
      </c>
      <c r="AD57" s="33">
        <f t="shared" si="10"/>
        <v>36</v>
      </c>
      <c r="AE57" s="33">
        <f>C57*(1+(Assumptions!$B$13*AD57/365))</f>
        <v>1421.5864580821917</v>
      </c>
      <c r="AF57" s="32">
        <f t="shared" si="11"/>
        <v>-0.88645808219166611</v>
      </c>
      <c r="AG57" s="33">
        <f>(C57*Assumptions!$B$16)+(AB57*Assumptions!$B$17)</f>
        <v>0.99043999999999999</v>
      </c>
      <c r="AH57" s="32">
        <f t="shared" si="12"/>
        <v>-1.8768980821916661</v>
      </c>
      <c r="AI57" s="32">
        <f>C57+(AB57*Assumptions!$B$15)</f>
        <v>1881.431</v>
      </c>
      <c r="AJ57" s="34">
        <f t="shared" si="13"/>
        <v>-9.9759070738797547E-4</v>
      </c>
      <c r="AK57" s="35">
        <f t="shared" si="14"/>
        <v>-1.0114461338794751E-2</v>
      </c>
      <c r="AL57" s="28" t="str">
        <f>IF(AND(AD57&gt;0,AK57  &gt; Assumptions!$B$13), "ENTER", "DONT ENTER")</f>
        <v>DONT ENTER</v>
      </c>
    </row>
    <row r="58" spans="1:38" x14ac:dyDescent="0.3">
      <c r="A58" s="25">
        <v>45895</v>
      </c>
      <c r="B58" s="3" t="s">
        <v>26</v>
      </c>
      <c r="C58" s="26">
        <f>VLOOKUP(A58, Raw_Data_Reliance!A:N, 8, FALSE)</f>
        <v>1384.9</v>
      </c>
      <c r="E58" s="36"/>
      <c r="L58" s="37"/>
      <c r="M58" s="37"/>
      <c r="P58" s="26">
        <f>VLOOKUP(A58, Raw_Data_Reliance!AB:AP, 8, FALSE)</f>
        <v>1386.5</v>
      </c>
      <c r="Q58" s="25">
        <f>Assumptions!$B$31</f>
        <v>45897</v>
      </c>
      <c r="R58" s="3">
        <f t="shared" si="5"/>
        <v>2</v>
      </c>
      <c r="S58" s="3">
        <f>C58*(1+(Assumptions!$B$19*R58/365))</f>
        <v>1384.9379424657536</v>
      </c>
      <c r="T58" s="26">
        <f t="shared" si="6"/>
        <v>1.5620575342463781</v>
      </c>
      <c r="U58" s="3">
        <f>(C58*Assumptions!$B$16)+(P58*Assumptions!$B$17)</f>
        <v>0.96975</v>
      </c>
      <c r="V58" s="26">
        <f t="shared" si="7"/>
        <v>0.59230753424637805</v>
      </c>
      <c r="W58" s="26">
        <f>C58+(P58*Assumptions!$B$15)</f>
        <v>1842.4450000000002</v>
      </c>
      <c r="X58" s="7">
        <f t="shared" si="8"/>
        <v>3.2147908580520886E-4</v>
      </c>
      <c r="Y58" s="27">
        <f t="shared" si="9"/>
        <v>5.866993315945062E-2</v>
      </c>
      <c r="Z58" s="28" t="str">
        <f>IF(AND(R58&gt;0,Y58  &gt; Assumptions!$B$13), "ENTER", "DONT ENTER")</f>
        <v>DONT ENTER</v>
      </c>
      <c r="AB58" s="26">
        <f>VLOOKUP(A58, Raw_Data_Reliance!AQ:BE, 8, FALSE)</f>
        <v>1394.2</v>
      </c>
      <c r="AC58" s="25">
        <f>Assumptions!$B$32</f>
        <v>45930</v>
      </c>
      <c r="AD58" s="3">
        <f t="shared" si="10"/>
        <v>35</v>
      </c>
      <c r="AE58" s="3">
        <f>C58*(1+(Assumptions!$B$13*AD58/365))</f>
        <v>1393.4655116438357</v>
      </c>
      <c r="AF58" s="26">
        <f t="shared" si="11"/>
        <v>0.73448835616432007</v>
      </c>
      <c r="AG58" s="3">
        <f>(C58*Assumptions!$B$16)+(AB58*Assumptions!$B$17)</f>
        <v>0.97128999999999999</v>
      </c>
      <c r="AH58" s="26">
        <f t="shared" si="12"/>
        <v>-0.23680164383567992</v>
      </c>
      <c r="AI58" s="26">
        <f>C58+(AB58*Assumptions!$B$15)</f>
        <v>1844.9860000000001</v>
      </c>
      <c r="AJ58" s="7">
        <f t="shared" si="13"/>
        <v>-1.283487483567246E-4</v>
      </c>
      <c r="AK58" s="27">
        <f t="shared" si="14"/>
        <v>-1.3384940900058422E-3</v>
      </c>
      <c r="AL58" s="28" t="str">
        <f>IF(AND(AD58&gt;0,AK58  &gt; Assumptions!$B$13), "ENTER", "DONT ENTER")</f>
        <v>DONT ENTER</v>
      </c>
    </row>
    <row r="59" spans="1:38" x14ac:dyDescent="0.3">
      <c r="A59" s="25">
        <v>45896</v>
      </c>
      <c r="B59" s="3" t="s">
        <v>26</v>
      </c>
      <c r="C59" s="3" t="e">
        <f>VLOOKUP(A59, Raw_Data_Reliance!A:N, 8, FALSE)</f>
        <v>#N/A</v>
      </c>
      <c r="E59" s="36"/>
      <c r="L59" s="37"/>
      <c r="M59" s="37"/>
      <c r="P59" s="3" t="e">
        <f>VLOOKUP(A59, Raw_Data_Reliance!AB:AP, 8, FALSE)</f>
        <v>#N/A</v>
      </c>
      <c r="Q59" s="25">
        <f>Assumptions!$B$31</f>
        <v>45897</v>
      </c>
      <c r="R59" s="3">
        <f t="shared" si="5"/>
        <v>1</v>
      </c>
      <c r="S59" s="3" t="e">
        <f>C59*(1+(Assumptions!$B$19*R59/365))</f>
        <v>#N/A</v>
      </c>
      <c r="T59" s="3" t="e">
        <f t="shared" si="6"/>
        <v>#N/A</v>
      </c>
      <c r="U59" s="3" t="e">
        <f>(C59*Assumptions!$B$16)+(P59*Assumptions!$B$17)</f>
        <v>#N/A</v>
      </c>
      <c r="V59" s="3" t="e">
        <f t="shared" si="7"/>
        <v>#N/A</v>
      </c>
      <c r="W59" s="3" t="e">
        <f>C59+(P59*Assumptions!$B$15)</f>
        <v>#N/A</v>
      </c>
      <c r="X59" s="7" t="e">
        <f t="shared" si="8"/>
        <v>#N/A</v>
      </c>
      <c r="Y59" s="7" t="e">
        <f t="shared" si="9"/>
        <v>#N/A</v>
      </c>
      <c r="Z59" s="3" t="e">
        <f>IF(AND(R59&gt;0,Y59  &gt; Assumptions!$B$13), "ENTER", "DONT ENTER")</f>
        <v>#N/A</v>
      </c>
      <c r="AB59" s="3" t="e">
        <f>VLOOKUP(A59, Raw_Data_Reliance!AQ:BE, 8, FALSE)</f>
        <v>#N/A</v>
      </c>
      <c r="AC59" s="25">
        <f>Assumptions!$B$32</f>
        <v>45930</v>
      </c>
      <c r="AD59" s="3">
        <f t="shared" si="10"/>
        <v>34</v>
      </c>
      <c r="AE59" s="3" t="e">
        <f>C59*(1+(Assumptions!$B$13*AD59/365))</f>
        <v>#N/A</v>
      </c>
      <c r="AF59" s="3" t="e">
        <f t="shared" si="11"/>
        <v>#N/A</v>
      </c>
      <c r="AG59" s="3" t="e">
        <f>(C59*Assumptions!$B$16)+(AB59*Assumptions!$B$17)</f>
        <v>#N/A</v>
      </c>
      <c r="AH59" s="3" t="e">
        <f t="shared" si="12"/>
        <v>#N/A</v>
      </c>
      <c r="AI59" s="3" t="e">
        <f>C59+(AB59*Assumptions!$B$15)</f>
        <v>#N/A</v>
      </c>
      <c r="AJ59" s="7" t="e">
        <f t="shared" si="13"/>
        <v>#N/A</v>
      </c>
      <c r="AK59" s="7" t="e">
        <f t="shared" si="14"/>
        <v>#N/A</v>
      </c>
      <c r="AL59" s="3" t="e">
        <f>IF(AND(AD59&gt;0,AK59  &gt; Assumptions!$B$13), "ENTER", "DONT ENTER")</f>
        <v>#N/A</v>
      </c>
    </row>
    <row r="60" spans="1:38" x14ac:dyDescent="0.3">
      <c r="A60" s="25">
        <v>45897</v>
      </c>
      <c r="B60" s="3" t="s">
        <v>26</v>
      </c>
      <c r="C60" s="26">
        <f>VLOOKUP(A60, Raw_Data_Reliance!A:N, 8, FALSE)</f>
        <v>1385.9</v>
      </c>
      <c r="E60" s="36"/>
      <c r="L60" s="37"/>
      <c r="M60" s="37"/>
      <c r="P60" s="26">
        <f>VLOOKUP(A60, Raw_Data_Reliance!AB:AP, 8, FALSE)</f>
        <v>1387.6</v>
      </c>
      <c r="Q60" s="25">
        <f>Assumptions!$B$31</f>
        <v>45897</v>
      </c>
      <c r="R60" s="3">
        <f t="shared" si="5"/>
        <v>0</v>
      </c>
      <c r="S60" s="3">
        <f>C60*(1+(Assumptions!$B$19*R60/365))</f>
        <v>1385.9</v>
      </c>
      <c r="T60" s="26">
        <f t="shared" si="6"/>
        <v>1.6999999999998181</v>
      </c>
      <c r="U60" s="3">
        <f>(C60*Assumptions!$B$16)+(P60*Assumptions!$B$17)</f>
        <v>0.97047000000000005</v>
      </c>
      <c r="V60" s="26">
        <f t="shared" si="7"/>
        <v>0.72952999999981805</v>
      </c>
      <c r="W60" s="26">
        <f>C60+(P60*Assumptions!$B$15)</f>
        <v>1843.808</v>
      </c>
      <c r="X60" s="7">
        <f t="shared" si="8"/>
        <v>3.95664841458448E-4</v>
      </c>
      <c r="Y60" s="7" t="e">
        <f t="shared" si="9"/>
        <v>#DIV/0!</v>
      </c>
      <c r="Z60" s="3" t="e">
        <f>IF(AND(R60&gt;0,Y60  &gt; Assumptions!$B$13), "ENTER", "DONT ENTER")</f>
        <v>#DIV/0!</v>
      </c>
      <c r="AB60" s="26">
        <f>VLOOKUP(A60, Raw_Data_Reliance!AQ:BE, 8, FALSE)</f>
        <v>1395.4</v>
      </c>
      <c r="AC60" s="25">
        <f>Assumptions!$B$32</f>
        <v>45930</v>
      </c>
      <c r="AD60" s="3">
        <f t="shared" si="10"/>
        <v>33</v>
      </c>
      <c r="AE60" s="3">
        <f>C60*(1+(Assumptions!$B$13*AD60/365))</f>
        <v>1393.9818853424658</v>
      </c>
      <c r="AF60" s="26">
        <f t="shared" si="11"/>
        <v>1.4181146575342609</v>
      </c>
      <c r="AG60" s="3">
        <f>(C60*Assumptions!$B$16)+(AB60*Assumptions!$B$17)</f>
        <v>0.97203000000000017</v>
      </c>
      <c r="AH60" s="26">
        <f t="shared" si="12"/>
        <v>0.44608465753426074</v>
      </c>
      <c r="AI60" s="26">
        <f>C60+(AB60*Assumptions!$B$15)</f>
        <v>1846.3820000000001</v>
      </c>
      <c r="AJ60" s="7">
        <f t="shared" si="13"/>
        <v>2.4159933184696381E-4</v>
      </c>
      <c r="AK60" s="27">
        <f t="shared" si="14"/>
        <v>2.6722350340649026E-3</v>
      </c>
      <c r="AL60" s="28" t="str">
        <f>IF(AND(AD60&gt;0,AK60  &gt; Assumptions!$B$13), "ENTER", "DONT ENTER")</f>
        <v>DONT ENTER</v>
      </c>
    </row>
    <row r="61" spans="1:38" x14ac:dyDescent="0.3">
      <c r="A61" s="25">
        <v>45898</v>
      </c>
      <c r="B61" s="3" t="s">
        <v>26</v>
      </c>
      <c r="C61" s="26">
        <f>VLOOKUP(A61, Raw_Data_Reliance!A:N, 8, FALSE)</f>
        <v>1357.2</v>
      </c>
      <c r="E61" s="36"/>
      <c r="L61" s="37"/>
      <c r="M61" s="37"/>
      <c r="Q61" s="36"/>
      <c r="X61" s="37"/>
      <c r="Y61" s="37"/>
      <c r="AB61" s="26">
        <f>VLOOKUP(A61, Raw_Data_Reliance!AQ:BE, 8, FALSE)</f>
        <v>1364.4</v>
      </c>
      <c r="AC61" s="25">
        <f>Assumptions!$B$32</f>
        <v>45930</v>
      </c>
      <c r="AD61" s="3">
        <f t="shared" si="10"/>
        <v>32</v>
      </c>
      <c r="AE61" s="3">
        <f>C61*(1+(Assumptions!$B$13*AD61/365))</f>
        <v>1364.8746871232877</v>
      </c>
      <c r="AF61" s="26">
        <f t="shared" si="11"/>
        <v>-0.47468712328759466</v>
      </c>
      <c r="AG61" s="3">
        <f>(C61*Assumptions!$B$16)+(AB61*Assumptions!$B$17)</f>
        <v>0.9514800000000001</v>
      </c>
      <c r="AH61" s="26">
        <f t="shared" si="12"/>
        <v>-1.4261671232875948</v>
      </c>
      <c r="AI61" s="26">
        <f>C61+(AB61*Assumptions!$B$15)</f>
        <v>1807.4520000000002</v>
      </c>
      <c r="AJ61" s="7">
        <f t="shared" si="13"/>
        <v>-7.8904840808364184E-4</v>
      </c>
      <c r="AK61" s="27">
        <f t="shared" si="14"/>
        <v>-9.0000834047040401E-3</v>
      </c>
      <c r="AL61" s="28" t="str">
        <f>IF(AND(AD61&gt;0,AK61  &gt; Assumptions!$B$13), "ENTER", "DONT ENTER")</f>
        <v>DONT ENTER</v>
      </c>
    </row>
    <row r="62" spans="1:38" x14ac:dyDescent="0.3">
      <c r="A62" s="25">
        <v>45899</v>
      </c>
      <c r="B62" s="3" t="s">
        <v>26</v>
      </c>
      <c r="C62" s="3" t="e">
        <f>VLOOKUP(A62, Raw_Data_Reliance!A:N, 8, FALSE)</f>
        <v>#N/A</v>
      </c>
      <c r="E62" s="36"/>
      <c r="L62" s="37"/>
      <c r="M62" s="37"/>
      <c r="Q62" s="36"/>
      <c r="X62" s="37"/>
      <c r="Y62" s="37"/>
      <c r="AB62" s="3" t="e">
        <f>VLOOKUP(A62, Raw_Data_Reliance!AQ:BE, 8, FALSE)</f>
        <v>#N/A</v>
      </c>
      <c r="AC62" s="25">
        <f>Assumptions!$B$32</f>
        <v>45930</v>
      </c>
      <c r="AD62" s="3">
        <f t="shared" si="10"/>
        <v>31</v>
      </c>
      <c r="AE62" s="3" t="e">
        <f>C62*(1+(Assumptions!$B$13*AD62/365))</f>
        <v>#N/A</v>
      </c>
      <c r="AF62" s="3" t="e">
        <f t="shared" si="11"/>
        <v>#N/A</v>
      </c>
      <c r="AG62" s="3" t="e">
        <f>(C62*Assumptions!$B$16)+(AB62*Assumptions!$B$17)</f>
        <v>#N/A</v>
      </c>
      <c r="AH62" s="3" t="e">
        <f t="shared" si="12"/>
        <v>#N/A</v>
      </c>
      <c r="AI62" s="3" t="e">
        <f>C62+(AB62*Assumptions!$B$15)</f>
        <v>#N/A</v>
      </c>
      <c r="AJ62" s="7" t="e">
        <f t="shared" si="13"/>
        <v>#N/A</v>
      </c>
      <c r="AK62" s="7" t="e">
        <f t="shared" si="14"/>
        <v>#N/A</v>
      </c>
      <c r="AL62" s="3" t="e">
        <f>IF(AND(AD62&gt;0,AK62  &gt; Assumptions!$B$13), "ENTER", "DONT ENTER")</f>
        <v>#N/A</v>
      </c>
    </row>
    <row r="63" spans="1:38" x14ac:dyDescent="0.3">
      <c r="A63" s="25">
        <v>45900</v>
      </c>
      <c r="B63" s="3" t="s">
        <v>26</v>
      </c>
      <c r="C63" s="3" t="e">
        <f>VLOOKUP(A63, Raw_Data_Reliance!A:N, 8, FALSE)</f>
        <v>#N/A</v>
      </c>
      <c r="E63" s="36"/>
      <c r="L63" s="37"/>
      <c r="M63" s="37"/>
      <c r="Q63" s="36"/>
      <c r="X63" s="37"/>
      <c r="Y63" s="37"/>
      <c r="AB63" s="3" t="e">
        <f>VLOOKUP(A63, Raw_Data_Reliance!AQ:BE, 8, FALSE)</f>
        <v>#N/A</v>
      </c>
      <c r="AC63" s="25">
        <f>Assumptions!$B$32</f>
        <v>45930</v>
      </c>
      <c r="AD63" s="3">
        <f t="shared" si="10"/>
        <v>30</v>
      </c>
      <c r="AE63" s="3" t="e">
        <f>C63*(1+(Assumptions!$B$13*AD63/365))</f>
        <v>#N/A</v>
      </c>
      <c r="AF63" s="3" t="e">
        <f t="shared" si="11"/>
        <v>#N/A</v>
      </c>
      <c r="AG63" s="3" t="e">
        <f>(C63*Assumptions!$B$16)+(AB63*Assumptions!$B$17)</f>
        <v>#N/A</v>
      </c>
      <c r="AH63" s="3" t="e">
        <f t="shared" si="12"/>
        <v>#N/A</v>
      </c>
      <c r="AI63" s="3" t="e">
        <f>C63+(AB63*Assumptions!$B$15)</f>
        <v>#N/A</v>
      </c>
      <c r="AJ63" s="7" t="e">
        <f t="shared" si="13"/>
        <v>#N/A</v>
      </c>
      <c r="AK63" s="7" t="e">
        <f t="shared" si="14"/>
        <v>#N/A</v>
      </c>
      <c r="AL63" s="3" t="e">
        <f>IF(AND(AD63&gt;0,AK63  &gt; Assumptions!$B$13), "ENTER", "DONT ENTER")</f>
        <v>#N/A</v>
      </c>
    </row>
    <row r="64" spans="1:38" x14ac:dyDescent="0.3">
      <c r="A64" s="25">
        <v>45901</v>
      </c>
      <c r="B64" s="3" t="s">
        <v>26</v>
      </c>
      <c r="C64" s="26">
        <f>VLOOKUP(A64, Raw_Data_Reliance!A:N, 8, FALSE)</f>
        <v>1353.9</v>
      </c>
      <c r="E64" s="36"/>
      <c r="L64" s="37"/>
      <c r="M64" s="37"/>
      <c r="Q64" s="36"/>
      <c r="X64" s="37"/>
      <c r="Y64" s="37"/>
      <c r="AB64" s="26">
        <f>VLOOKUP(A64, Raw_Data_Reliance!AQ:BE, 8, FALSE)</f>
        <v>1360.5</v>
      </c>
      <c r="AC64" s="25">
        <f>Assumptions!$B$32</f>
        <v>45930</v>
      </c>
      <c r="AD64" s="3">
        <f t="shared" si="10"/>
        <v>29</v>
      </c>
      <c r="AE64" s="3">
        <f>C64*(1+(Assumptions!$B$13*AD64/365))</f>
        <v>1360.8382738356165</v>
      </c>
      <c r="AF64" s="26">
        <f t="shared" si="11"/>
        <v>-0.33827383561651914</v>
      </c>
      <c r="AG64" s="3">
        <f>(C64*Assumptions!$B$16)+(AB64*Assumptions!$B$17)</f>
        <v>0.94905000000000006</v>
      </c>
      <c r="AH64" s="26">
        <f t="shared" si="12"/>
        <v>-1.2873238356165193</v>
      </c>
      <c r="AI64" s="26">
        <f>C64+(AB64*Assumptions!$B$15)</f>
        <v>1802.8650000000002</v>
      </c>
      <c r="AJ64" s="7">
        <f t="shared" si="13"/>
        <v>-7.1404338961404158E-4</v>
      </c>
      <c r="AK64" s="27">
        <f t="shared" si="14"/>
        <v>-8.9870978347974199E-3</v>
      </c>
      <c r="AL64" s="28" t="str">
        <f>IF(AND(AD64&gt;0,AK64  &gt; Assumptions!$B$13), "ENTER", "DONT ENTER")</f>
        <v>DONT ENTER</v>
      </c>
    </row>
    <row r="65" spans="1:38" x14ac:dyDescent="0.3">
      <c r="A65" s="25">
        <v>45902</v>
      </c>
      <c r="B65" s="3" t="s">
        <v>26</v>
      </c>
      <c r="C65" s="26">
        <f>VLOOKUP(A65, Raw_Data_Reliance!A:N, 8, FALSE)</f>
        <v>1366.5</v>
      </c>
      <c r="E65" s="36"/>
      <c r="L65" s="37"/>
      <c r="M65" s="37"/>
      <c r="Q65" s="36"/>
      <c r="X65" s="37"/>
      <c r="Y65" s="37"/>
      <c r="AB65" s="26">
        <f>VLOOKUP(A65, Raw_Data_Reliance!AQ:BE, 8, FALSE)</f>
        <v>1372.6</v>
      </c>
      <c r="AC65" s="25">
        <f>Assumptions!$B$32</f>
        <v>45930</v>
      </c>
      <c r="AD65" s="3">
        <f t="shared" si="10"/>
        <v>28</v>
      </c>
      <c r="AE65" s="3">
        <f>C65*(1+(Assumptions!$B$13*AD65/365))</f>
        <v>1373.2613671232878</v>
      </c>
      <c r="AF65" s="26">
        <f t="shared" si="11"/>
        <v>-0.66136712328784597</v>
      </c>
      <c r="AG65" s="3">
        <f>(C65*Assumptions!$B$16)+(AB65*Assumptions!$B$17)</f>
        <v>0.95777000000000001</v>
      </c>
      <c r="AH65" s="26">
        <f t="shared" si="12"/>
        <v>-1.619137123287846</v>
      </c>
      <c r="AI65" s="26">
        <f>C65+(AB65*Assumptions!$B$15)</f>
        <v>1819.4580000000001</v>
      </c>
      <c r="AJ65" s="7">
        <f t="shared" si="13"/>
        <v>-8.8990079643929451E-4</v>
      </c>
      <c r="AK65" s="27">
        <f t="shared" si="14"/>
        <v>-1.1600492525012232E-2</v>
      </c>
      <c r="AL65" s="28" t="str">
        <f>IF(AND(AD65&gt;0,AK65  &gt; Assumptions!$B$13), "ENTER", "DONT ENTER")</f>
        <v>DONT ENTER</v>
      </c>
    </row>
    <row r="66" spans="1:38" x14ac:dyDescent="0.3">
      <c r="A66" s="25">
        <v>45903</v>
      </c>
      <c r="B66" s="3" t="s">
        <v>26</v>
      </c>
      <c r="C66" s="26">
        <f>VLOOKUP(A66, Raw_Data_Reliance!A:N, 8, FALSE)</f>
        <v>1372.6</v>
      </c>
      <c r="E66" s="36"/>
      <c r="L66" s="37"/>
      <c r="M66" s="37"/>
      <c r="Q66" s="36"/>
      <c r="X66" s="37"/>
      <c r="Y66" s="37"/>
      <c r="AB66" s="26">
        <f>VLOOKUP(A66, Raw_Data_Reliance!AQ:BE, 8, FALSE)</f>
        <v>1377.2</v>
      </c>
      <c r="AC66" s="25">
        <f>Assumptions!$B$32</f>
        <v>45930</v>
      </c>
      <c r="AD66" s="3">
        <f t="shared" si="10"/>
        <v>27</v>
      </c>
      <c r="AE66" s="3">
        <f>C66*(1+(Assumptions!$B$13*AD66/365))</f>
        <v>1379.1489942465755</v>
      </c>
      <c r="AF66" s="26">
        <f t="shared" si="11"/>
        <v>-1.9489942465754666</v>
      </c>
      <c r="AG66" s="3">
        <f>(C66*Assumptions!$B$16)+(AB66*Assumptions!$B$17)</f>
        <v>0.96174000000000004</v>
      </c>
      <c r="AH66" s="26">
        <f t="shared" si="12"/>
        <v>-2.9107342465754664</v>
      </c>
      <c r="AI66" s="26">
        <f>C66+(AB66*Assumptions!$B$15)</f>
        <v>1827.076</v>
      </c>
      <c r="AJ66" s="7">
        <f t="shared" si="13"/>
        <v>-1.5931106569050584E-3</v>
      </c>
      <c r="AK66" s="27">
        <f t="shared" si="14"/>
        <v>-2.1536495917420233E-2</v>
      </c>
      <c r="AL66" s="28" t="str">
        <f>IF(AND(AD66&gt;0,AK66  &gt; Assumptions!$B$13), "ENTER", "DONT ENTER")</f>
        <v>DONT ENTER</v>
      </c>
    </row>
    <row r="67" spans="1:38" x14ac:dyDescent="0.3">
      <c r="A67" s="25">
        <v>45904</v>
      </c>
      <c r="B67" s="3" t="s">
        <v>26</v>
      </c>
      <c r="C67" s="26">
        <f>VLOOKUP(A67, Raw_Data_Reliance!A:N, 8, FALSE)</f>
        <v>1359.3</v>
      </c>
      <c r="E67" s="36"/>
      <c r="L67" s="37"/>
      <c r="M67" s="37"/>
      <c r="Q67" s="36"/>
      <c r="X67" s="37"/>
      <c r="Y67" s="37"/>
      <c r="AB67" s="26">
        <f>VLOOKUP(A67, Raw_Data_Reliance!AQ:BE, 8, FALSE)</f>
        <v>1365.9</v>
      </c>
      <c r="AC67" s="25">
        <f>Assumptions!$B$32</f>
        <v>45930</v>
      </c>
      <c r="AD67" s="3">
        <f t="shared" si="10"/>
        <v>26</v>
      </c>
      <c r="AE67" s="3">
        <f>C67*(1+(Assumptions!$B$13*AD67/365))</f>
        <v>1365.5453317808219</v>
      </c>
      <c r="AF67" s="26">
        <f t="shared" si="11"/>
        <v>0.3546682191781656</v>
      </c>
      <c r="AG67" s="3">
        <f>(C67*Assumptions!$B$16)+(AB67*Assumptions!$B$17)</f>
        <v>0.95283000000000007</v>
      </c>
      <c r="AH67" s="26">
        <f t="shared" si="12"/>
        <v>-0.59816178082183447</v>
      </c>
      <c r="AI67" s="26">
        <f>C67+(AB67*Assumptions!$B$15)</f>
        <v>1810.047</v>
      </c>
      <c r="AJ67" s="7">
        <f t="shared" si="13"/>
        <v>-3.304675407996778E-4</v>
      </c>
      <c r="AK67" s="27">
        <f t="shared" si="14"/>
        <v>-4.6392558612262458E-3</v>
      </c>
      <c r="AL67" s="28" t="str">
        <f>IF(AND(AD67&gt;0,AK67  &gt; Assumptions!$B$13), "ENTER", "DONT ENTER")</f>
        <v>DONT ENTER</v>
      </c>
    </row>
    <row r="68" spans="1:38" x14ac:dyDescent="0.3">
      <c r="A68" s="25">
        <v>45905</v>
      </c>
      <c r="B68" s="3" t="s">
        <v>26</v>
      </c>
      <c r="C68" s="26">
        <f>VLOOKUP(A68, Raw_Data_Reliance!A:N, 8, FALSE)</f>
        <v>1375</v>
      </c>
      <c r="E68" s="36"/>
      <c r="L68" s="37"/>
      <c r="M68" s="37"/>
      <c r="Q68" s="36"/>
      <c r="X68" s="37"/>
      <c r="Y68" s="37"/>
      <c r="AB68" s="26">
        <f>VLOOKUP(A68, Raw_Data_Reliance!AQ:BE, 8, FALSE)</f>
        <v>1378.6</v>
      </c>
      <c r="AC68" s="25">
        <f>Assumptions!$B$32</f>
        <v>45930</v>
      </c>
      <c r="AD68" s="3">
        <f t="shared" si="10"/>
        <v>25</v>
      </c>
      <c r="AE68" s="3">
        <f>C68*(1+(Assumptions!$B$13*AD68/365))</f>
        <v>1381.0744863013699</v>
      </c>
      <c r="AF68" s="26">
        <f t="shared" si="11"/>
        <v>-2.4744863013700069</v>
      </c>
      <c r="AG68" s="3">
        <f>(C68*Assumptions!$B$16)+(AB68*Assumptions!$B$17)</f>
        <v>0.96321999999999997</v>
      </c>
      <c r="AH68" s="26">
        <f t="shared" si="12"/>
        <v>-3.4377063013700067</v>
      </c>
      <c r="AI68" s="26">
        <f>C68+(AB68*Assumptions!$B$15)</f>
        <v>1829.9380000000001</v>
      </c>
      <c r="AJ68" s="7">
        <f t="shared" si="13"/>
        <v>-1.8785916798110135E-3</v>
      </c>
      <c r="AK68" s="27">
        <f t="shared" si="14"/>
        <v>-2.7427438525240797E-2</v>
      </c>
      <c r="AL68" s="28" t="str">
        <f>IF(AND(AD68&gt;0,AK68  &gt; Assumptions!$B$13), "ENTER", "DONT ENTER")</f>
        <v>DONT ENTER</v>
      </c>
    </row>
    <row r="69" spans="1:38" x14ac:dyDescent="0.3">
      <c r="A69" s="25">
        <v>45906</v>
      </c>
      <c r="B69" s="3" t="s">
        <v>26</v>
      </c>
      <c r="C69" s="3" t="e">
        <f>VLOOKUP(A69, Raw_Data_Reliance!A:N, 8, FALSE)</f>
        <v>#N/A</v>
      </c>
      <c r="E69" s="36"/>
      <c r="L69" s="37"/>
      <c r="M69" s="37"/>
      <c r="Q69" s="36"/>
      <c r="X69" s="37"/>
      <c r="Y69" s="37"/>
      <c r="AB69" s="3" t="e">
        <f>VLOOKUP(A69, Raw_Data_Reliance!AQ:BE, 8, FALSE)</f>
        <v>#N/A</v>
      </c>
      <c r="AC69" s="25">
        <f>Assumptions!$B$32</f>
        <v>45930</v>
      </c>
      <c r="AD69" s="3">
        <f t="shared" si="10"/>
        <v>24</v>
      </c>
      <c r="AE69" s="3" t="e">
        <f>C69*(1+(Assumptions!$B$13*AD69/365))</f>
        <v>#N/A</v>
      </c>
      <c r="AF69" s="3" t="e">
        <f t="shared" si="11"/>
        <v>#N/A</v>
      </c>
      <c r="AG69" s="3" t="e">
        <f>(C69*Assumptions!$B$16)+(AB69*Assumptions!$B$17)</f>
        <v>#N/A</v>
      </c>
      <c r="AH69" s="3" t="e">
        <f t="shared" si="12"/>
        <v>#N/A</v>
      </c>
      <c r="AI69" s="3" t="e">
        <f>C69+(AB69*Assumptions!$B$15)</f>
        <v>#N/A</v>
      </c>
      <c r="AJ69" s="7" t="e">
        <f t="shared" si="13"/>
        <v>#N/A</v>
      </c>
      <c r="AK69" s="7" t="e">
        <f t="shared" si="14"/>
        <v>#N/A</v>
      </c>
      <c r="AL69" s="3" t="e">
        <f>IF(AND(AD69&gt;0,AK69  &gt; Assumptions!$B$13), "ENTER", "DONT ENTER")</f>
        <v>#N/A</v>
      </c>
    </row>
    <row r="70" spans="1:38" x14ac:dyDescent="0.3">
      <c r="A70" s="25">
        <v>45907</v>
      </c>
      <c r="B70" s="3" t="s">
        <v>26</v>
      </c>
      <c r="C70" s="3" t="e">
        <f>VLOOKUP(A70, Raw_Data_Reliance!A:N, 8, FALSE)</f>
        <v>#N/A</v>
      </c>
      <c r="E70" s="36"/>
      <c r="L70" s="37"/>
      <c r="M70" s="37"/>
      <c r="Q70" s="36"/>
      <c r="X70" s="37"/>
      <c r="Y70" s="37"/>
      <c r="AB70" s="3" t="e">
        <f>VLOOKUP(A70, Raw_Data_Reliance!AQ:BE, 8, FALSE)</f>
        <v>#N/A</v>
      </c>
      <c r="AC70" s="25">
        <f>Assumptions!$B$32</f>
        <v>45930</v>
      </c>
      <c r="AD70" s="3">
        <f t="shared" si="10"/>
        <v>23</v>
      </c>
      <c r="AE70" s="3" t="e">
        <f>C70*(1+(Assumptions!$B$13*AD70/365))</f>
        <v>#N/A</v>
      </c>
      <c r="AF70" s="3" t="e">
        <f t="shared" si="11"/>
        <v>#N/A</v>
      </c>
      <c r="AG70" s="3" t="e">
        <f>(C70*Assumptions!$B$16)+(AB70*Assumptions!$B$17)</f>
        <v>#N/A</v>
      </c>
      <c r="AH70" s="3" t="e">
        <f t="shared" si="12"/>
        <v>#N/A</v>
      </c>
      <c r="AI70" s="3" t="e">
        <f>C70+(AB70*Assumptions!$B$15)</f>
        <v>#N/A</v>
      </c>
      <c r="AJ70" s="7" t="e">
        <f t="shared" si="13"/>
        <v>#N/A</v>
      </c>
      <c r="AK70" s="7" t="e">
        <f t="shared" si="14"/>
        <v>#N/A</v>
      </c>
      <c r="AL70" s="3" t="e">
        <f>IF(AND(AD70&gt;0,AK70  &gt; Assumptions!$B$13), "ENTER", "DONT ENTER")</f>
        <v>#N/A</v>
      </c>
    </row>
    <row r="71" spans="1:38" x14ac:dyDescent="0.3">
      <c r="A71" s="25">
        <v>45908</v>
      </c>
      <c r="B71" s="3" t="s">
        <v>26</v>
      </c>
      <c r="C71" s="26">
        <f>VLOOKUP(A71, Raw_Data_Reliance!A:N, 8, FALSE)</f>
        <v>1378.5</v>
      </c>
      <c r="E71" s="36"/>
      <c r="L71" s="37"/>
      <c r="M71" s="37"/>
      <c r="Q71" s="36"/>
      <c r="X71" s="37"/>
      <c r="Y71" s="37"/>
      <c r="AB71" s="26">
        <f>VLOOKUP(A71, Raw_Data_Reliance!AQ:BE, 8, FALSE)</f>
        <v>1382.3</v>
      </c>
      <c r="AC71" s="25">
        <f>Assumptions!$B$32</f>
        <v>45930</v>
      </c>
      <c r="AD71" s="3">
        <f t="shared" si="10"/>
        <v>22</v>
      </c>
      <c r="AE71" s="3">
        <f>C71*(1+(Assumptions!$B$13*AD71/365))</f>
        <v>1383.8591547945207</v>
      </c>
      <c r="AF71" s="26">
        <f t="shared" si="11"/>
        <v>-1.5591547945207367</v>
      </c>
      <c r="AG71" s="3">
        <f>(C71*Assumptions!$B$16)+(AB71*Assumptions!$B$17)</f>
        <v>0.96571000000000007</v>
      </c>
      <c r="AH71" s="26">
        <f t="shared" si="12"/>
        <v>-2.5248647945207368</v>
      </c>
      <c r="AI71" s="26">
        <f>C71+(AB71*Assumptions!$B$15)</f>
        <v>1834.6590000000001</v>
      </c>
      <c r="AJ71" s="7">
        <f t="shared" si="13"/>
        <v>-1.3762038583304782E-3</v>
      </c>
      <c r="AK71" s="27">
        <f t="shared" si="14"/>
        <v>-2.2832473104119295E-2</v>
      </c>
      <c r="AL71" s="28" t="str">
        <f>IF(AND(AD71&gt;0,AK71  &gt; Assumptions!$B$13), "ENTER", "DONT ENTER")</f>
        <v>DONT ENTER</v>
      </c>
    </row>
    <row r="72" spans="1:38" x14ac:dyDescent="0.3">
      <c r="A72" s="25">
        <v>45909</v>
      </c>
      <c r="B72" s="3" t="s">
        <v>26</v>
      </c>
      <c r="C72" s="26">
        <f>VLOOKUP(A72, Raw_Data_Reliance!A:N, 8, FALSE)</f>
        <v>1376.2</v>
      </c>
      <c r="E72" s="36"/>
      <c r="L72" s="37"/>
      <c r="M72" s="37"/>
      <c r="Q72" s="36"/>
      <c r="X72" s="37"/>
      <c r="Y72" s="37"/>
      <c r="AB72" s="26">
        <f>VLOOKUP(A72, Raw_Data_Reliance!AQ:BE, 8, FALSE)</f>
        <v>1380</v>
      </c>
      <c r="AC72" s="25">
        <f>Assumptions!$B$32</f>
        <v>45930</v>
      </c>
      <c r="AD72" s="3">
        <f t="shared" si="10"/>
        <v>21</v>
      </c>
      <c r="AE72" s="3">
        <f>C72*(1+(Assumptions!$B$13*AD72/365))</f>
        <v>1381.3070216438357</v>
      </c>
      <c r="AF72" s="26">
        <f t="shared" si="11"/>
        <v>-1.3070216438356965</v>
      </c>
      <c r="AG72" s="3">
        <f>(C72*Assumptions!$B$16)+(AB72*Assumptions!$B$17)</f>
        <v>0.96410000000000007</v>
      </c>
      <c r="AH72" s="26">
        <f t="shared" si="12"/>
        <v>-2.2711216438356967</v>
      </c>
      <c r="AI72" s="26">
        <f>C72+(AB72*Assumptions!$B$15)</f>
        <v>1831.6000000000001</v>
      </c>
      <c r="AJ72" s="7">
        <f t="shared" si="13"/>
        <v>-1.2399659553590831E-3</v>
      </c>
      <c r="AK72" s="27">
        <f t="shared" si="14"/>
        <v>-2.1551789224098346E-2</v>
      </c>
      <c r="AL72" s="28" t="str">
        <f>IF(AND(AD72&gt;0,AK72  &gt; Assumptions!$B$13), "ENTER", "DONT ENTER")</f>
        <v>DONT ENTER</v>
      </c>
    </row>
    <row r="73" spans="1:38" x14ac:dyDescent="0.3">
      <c r="A73" s="25">
        <v>45910</v>
      </c>
      <c r="B73" s="3" t="s">
        <v>26</v>
      </c>
      <c r="C73" s="26">
        <f>VLOOKUP(A73, Raw_Data_Reliance!A:N, 8, FALSE)</f>
        <v>1377</v>
      </c>
      <c r="E73" s="36"/>
      <c r="L73" s="37"/>
      <c r="M73" s="37"/>
      <c r="Q73" s="36"/>
      <c r="X73" s="37"/>
      <c r="Y73" s="37"/>
      <c r="AB73" s="26">
        <f>VLOOKUP(A73, Raw_Data_Reliance!AQ:BE, 8, FALSE)</f>
        <v>1383.6</v>
      </c>
      <c r="AC73" s="25">
        <f>Assumptions!$B$32</f>
        <v>45930</v>
      </c>
      <c r="AD73" s="3">
        <f t="shared" si="10"/>
        <v>20</v>
      </c>
      <c r="AE73" s="3">
        <f>C73*(1+(Assumptions!$B$13*AD73/365))</f>
        <v>1381.8666575342465</v>
      </c>
      <c r="AF73" s="26">
        <f t="shared" si="11"/>
        <v>1.7333424657533669</v>
      </c>
      <c r="AG73" s="3">
        <f>(C73*Assumptions!$B$16)+(AB73*Assumptions!$B$17)</f>
        <v>0.96521999999999997</v>
      </c>
      <c r="AH73" s="26">
        <f t="shared" si="12"/>
        <v>0.76812246575336696</v>
      </c>
      <c r="AI73" s="26">
        <f>C73+(AB73*Assumptions!$B$15)</f>
        <v>1833.588</v>
      </c>
      <c r="AJ73" s="7">
        <f t="shared" si="13"/>
        <v>4.1891769893420276E-4</v>
      </c>
      <c r="AK73" s="27">
        <f t="shared" si="14"/>
        <v>7.6452480055492003E-3</v>
      </c>
      <c r="AL73" s="28" t="str">
        <f>IF(AND(AD73&gt;0,AK73  &gt; Assumptions!$B$13), "ENTER", "DONT ENTER")</f>
        <v>DONT ENTER</v>
      </c>
    </row>
    <row r="74" spans="1:38" x14ac:dyDescent="0.3">
      <c r="A74" s="25">
        <v>45911</v>
      </c>
      <c r="B74" s="3" t="s">
        <v>26</v>
      </c>
      <c r="C74" s="26">
        <f>VLOOKUP(A74, Raw_Data_Reliance!A:N, 8, FALSE)</f>
        <v>1383.3</v>
      </c>
      <c r="E74" s="36"/>
      <c r="L74" s="37"/>
      <c r="M74" s="37"/>
      <c r="Q74" s="36"/>
      <c r="X74" s="37"/>
      <c r="Y74" s="37"/>
      <c r="AB74" s="26">
        <f>VLOOKUP(A74, Raw_Data_Reliance!AQ:BE, 8, FALSE)</f>
        <v>1389.4</v>
      </c>
      <c r="AC74" s="25">
        <f>Assumptions!$B$32</f>
        <v>45930</v>
      </c>
      <c r="AD74" s="3">
        <f t="shared" si="10"/>
        <v>19</v>
      </c>
      <c r="AE74" s="3">
        <f>C74*(1+(Assumptions!$B$13*AD74/365))</f>
        <v>1387.9444771232875</v>
      </c>
      <c r="AF74" s="26">
        <f t="shared" si="11"/>
        <v>1.4555228767126209</v>
      </c>
      <c r="AG74" s="3">
        <f>(C74*Assumptions!$B$16)+(AB74*Assumptions!$B$17)</f>
        <v>0.96953</v>
      </c>
      <c r="AH74" s="26">
        <f t="shared" si="12"/>
        <v>0.48599287671262092</v>
      </c>
      <c r="AI74" s="26">
        <f>C74+(AB74*Assumptions!$B$15)</f>
        <v>1841.8020000000001</v>
      </c>
      <c r="AJ74" s="7">
        <f t="shared" si="13"/>
        <v>2.638681447368506E-4</v>
      </c>
      <c r="AK74" s="27">
        <f t="shared" si="14"/>
        <v>5.0690459383658142E-3</v>
      </c>
      <c r="AL74" s="28" t="str">
        <f>IF(AND(AD74&gt;0,AK74  &gt; Assumptions!$B$13), "ENTER", "DONT ENTER")</f>
        <v>DONT ENTER</v>
      </c>
    </row>
    <row r="75" spans="1:38" x14ac:dyDescent="0.3">
      <c r="A75" s="25">
        <v>45912</v>
      </c>
      <c r="B75" s="3" t="s">
        <v>26</v>
      </c>
      <c r="C75" s="26">
        <f>VLOOKUP(A75, Raw_Data_Reliance!A:N, 8, FALSE)</f>
        <v>1395</v>
      </c>
      <c r="E75" s="36"/>
      <c r="L75" s="37"/>
      <c r="M75" s="37"/>
      <c r="Q75" s="36"/>
      <c r="X75" s="37"/>
      <c r="Y75" s="37"/>
      <c r="AB75" s="26">
        <f>VLOOKUP(A75, Raw_Data_Reliance!AQ:BE, 8, FALSE)</f>
        <v>1398.9</v>
      </c>
      <c r="AC75" s="25">
        <f>Assumptions!$B$32</f>
        <v>45930</v>
      </c>
      <c r="AD75" s="3">
        <f t="shared" si="10"/>
        <v>18</v>
      </c>
      <c r="AE75" s="3">
        <f>C75*(1+(Assumptions!$B$13*AD75/365))</f>
        <v>1399.4372465753424</v>
      </c>
      <c r="AF75" s="26">
        <f t="shared" si="11"/>
        <v>-0.53724657534235121</v>
      </c>
      <c r="AG75" s="3">
        <f>(C75*Assumptions!$B$16)+(AB75*Assumptions!$B$17)</f>
        <v>0.97728000000000004</v>
      </c>
      <c r="AH75" s="26">
        <f t="shared" si="12"/>
        <v>-1.5145265753423511</v>
      </c>
      <c r="AI75" s="26">
        <f>C75+(AB75*Assumptions!$B$15)</f>
        <v>1856.6370000000002</v>
      </c>
      <c r="AJ75" s="7">
        <f t="shared" si="13"/>
        <v>-8.1573650387359027E-4</v>
      </c>
      <c r="AK75" s="27">
        <f t="shared" si="14"/>
        <v>-1.6541323550770027E-2</v>
      </c>
      <c r="AL75" s="28" t="str">
        <f>IF(AND(AD75&gt;0,AK75  &gt; Assumptions!$B$13), "ENTER", "DONT ENTER")</f>
        <v>DONT ENTER</v>
      </c>
    </row>
    <row r="76" spans="1:38" x14ac:dyDescent="0.3">
      <c r="A76" s="25">
        <v>45913</v>
      </c>
      <c r="B76" s="3" t="s">
        <v>26</v>
      </c>
      <c r="C76" s="3" t="e">
        <f>VLOOKUP(A76, Raw_Data_Reliance!A:N, 8, FALSE)</f>
        <v>#N/A</v>
      </c>
      <c r="E76" s="36"/>
      <c r="L76" s="37"/>
      <c r="M76" s="37"/>
      <c r="Q76" s="36"/>
      <c r="X76" s="37"/>
      <c r="Y76" s="37"/>
      <c r="AB76" s="3" t="e">
        <f>VLOOKUP(A76, Raw_Data_Reliance!AQ:BE, 8, FALSE)</f>
        <v>#N/A</v>
      </c>
      <c r="AC76" s="25">
        <f>Assumptions!$B$32</f>
        <v>45930</v>
      </c>
      <c r="AD76" s="3">
        <f t="shared" si="10"/>
        <v>17</v>
      </c>
      <c r="AE76" s="3" t="e">
        <f>C76*(1+(Assumptions!$B$13*AD76/365))</f>
        <v>#N/A</v>
      </c>
      <c r="AF76" s="3" t="e">
        <f t="shared" si="11"/>
        <v>#N/A</v>
      </c>
      <c r="AG76" s="3" t="e">
        <f>(C76*Assumptions!$B$16)+(AB76*Assumptions!$B$17)</f>
        <v>#N/A</v>
      </c>
      <c r="AH76" s="3" t="e">
        <f t="shared" si="12"/>
        <v>#N/A</v>
      </c>
      <c r="AI76" s="3" t="e">
        <f>C76+(AB76*Assumptions!$B$15)</f>
        <v>#N/A</v>
      </c>
      <c r="AJ76" s="7" t="e">
        <f t="shared" si="13"/>
        <v>#N/A</v>
      </c>
      <c r="AK76" s="7" t="e">
        <f t="shared" si="14"/>
        <v>#N/A</v>
      </c>
      <c r="AL76" s="3" t="e">
        <f>IF(AND(AD76&gt;0,AK76  &gt; Assumptions!$B$13), "ENTER", "DONT ENTER")</f>
        <v>#N/A</v>
      </c>
    </row>
    <row r="77" spans="1:38" x14ac:dyDescent="0.3">
      <c r="A77" s="25">
        <v>45914</v>
      </c>
      <c r="B77" s="3" t="s">
        <v>26</v>
      </c>
      <c r="C77" s="3" t="e">
        <f>VLOOKUP(A77, Raw_Data_Reliance!A:N, 8, FALSE)</f>
        <v>#N/A</v>
      </c>
      <c r="E77" s="36"/>
      <c r="L77" s="37"/>
      <c r="M77" s="37"/>
      <c r="Q77" s="36"/>
      <c r="X77" s="37"/>
      <c r="Y77" s="37"/>
      <c r="AB77" s="3" t="e">
        <f>VLOOKUP(A77, Raw_Data_Reliance!AQ:BE, 8, FALSE)</f>
        <v>#N/A</v>
      </c>
      <c r="AC77" s="25">
        <f>Assumptions!$B$32</f>
        <v>45930</v>
      </c>
      <c r="AD77" s="3">
        <f t="shared" si="10"/>
        <v>16</v>
      </c>
      <c r="AE77" s="3" t="e">
        <f>C77*(1+(Assumptions!$B$13*AD77/365))</f>
        <v>#N/A</v>
      </c>
      <c r="AF77" s="3" t="e">
        <f t="shared" si="11"/>
        <v>#N/A</v>
      </c>
      <c r="AG77" s="3" t="e">
        <f>(C77*Assumptions!$B$16)+(AB77*Assumptions!$B$17)</f>
        <v>#N/A</v>
      </c>
      <c r="AH77" s="3" t="e">
        <f t="shared" si="12"/>
        <v>#N/A</v>
      </c>
      <c r="AI77" s="3" t="e">
        <f>C77+(AB77*Assumptions!$B$15)</f>
        <v>#N/A</v>
      </c>
      <c r="AJ77" s="7" t="e">
        <f t="shared" si="13"/>
        <v>#N/A</v>
      </c>
      <c r="AK77" s="7" t="e">
        <f t="shared" si="14"/>
        <v>#N/A</v>
      </c>
      <c r="AL77" s="3" t="e">
        <f>IF(AND(AD77&gt;0,AK77  &gt; Assumptions!$B$13), "ENTER", "DONT ENTER")</f>
        <v>#N/A</v>
      </c>
    </row>
    <row r="78" spans="1:38" x14ac:dyDescent="0.3">
      <c r="A78" s="25">
        <v>45915</v>
      </c>
      <c r="B78" s="3" t="s">
        <v>26</v>
      </c>
      <c r="C78" s="26">
        <f>VLOOKUP(A78, Raw_Data_Reliance!A:N, 8, FALSE)</f>
        <v>1399.3</v>
      </c>
      <c r="E78" s="36"/>
      <c r="L78" s="37"/>
      <c r="M78" s="37"/>
      <c r="Q78" s="36"/>
      <c r="X78" s="37"/>
      <c r="Y78" s="37"/>
      <c r="AB78" s="26">
        <f>VLOOKUP(A78, Raw_Data_Reliance!AQ:BE, 8, FALSE)</f>
        <v>1402.8</v>
      </c>
      <c r="AC78" s="25">
        <f>Assumptions!$B$32</f>
        <v>45930</v>
      </c>
      <c r="AD78" s="3">
        <f t="shared" si="10"/>
        <v>15</v>
      </c>
      <c r="AE78" s="3">
        <f>C78*(1+(Assumptions!$B$13*AD78/365))</f>
        <v>1403.0091034246575</v>
      </c>
      <c r="AF78" s="26">
        <f t="shared" si="11"/>
        <v>-0.20910342465754184</v>
      </c>
      <c r="AG78" s="3">
        <f>(C78*Assumptions!$B$16)+(AB78*Assumptions!$B$17)</f>
        <v>0.98021000000000003</v>
      </c>
      <c r="AH78" s="26">
        <f t="shared" si="12"/>
        <v>-1.1893134246575419</v>
      </c>
      <c r="AI78" s="26">
        <f>C78+(AB78*Assumptions!$B$15)</f>
        <v>1862.2239999999999</v>
      </c>
      <c r="AJ78" s="7">
        <f t="shared" si="13"/>
        <v>-6.3865218397869531E-4</v>
      </c>
      <c r="AK78" s="27">
        <f t="shared" si="14"/>
        <v>-1.5540536476814918E-2</v>
      </c>
      <c r="AL78" s="28" t="str">
        <f>IF(AND(AD78&gt;0,AK78  &gt; Assumptions!$B$13), "ENTER", "DONT ENTER")</f>
        <v>DONT ENTER</v>
      </c>
    </row>
    <row r="79" spans="1:38" x14ac:dyDescent="0.3">
      <c r="A79" s="25">
        <v>45916</v>
      </c>
      <c r="B79" s="3" t="s">
        <v>26</v>
      </c>
      <c r="C79" s="26">
        <f>VLOOKUP(A79, Raw_Data_Reliance!A:N, 8, FALSE)</f>
        <v>1405.3</v>
      </c>
      <c r="E79" s="36"/>
      <c r="L79" s="37"/>
      <c r="M79" s="37"/>
      <c r="Q79" s="36"/>
      <c r="X79" s="37"/>
      <c r="Y79" s="37"/>
      <c r="AB79" s="26">
        <f>VLOOKUP(A79, Raw_Data_Reliance!AQ:BE, 8, FALSE)</f>
        <v>1409.2</v>
      </c>
      <c r="AC79" s="25">
        <f>Assumptions!$B$32</f>
        <v>45930</v>
      </c>
      <c r="AD79" s="3">
        <f t="shared" si="10"/>
        <v>14</v>
      </c>
      <c r="AE79" s="3">
        <f>C79*(1+(Assumptions!$B$13*AD79/365))</f>
        <v>1408.77667369863</v>
      </c>
      <c r="AF79" s="26">
        <f t="shared" si="11"/>
        <v>0.42332630137002525</v>
      </c>
      <c r="AG79" s="3">
        <f>(C79*Assumptions!$B$16)+(AB79*Assumptions!$B$17)</f>
        <v>0.98449000000000009</v>
      </c>
      <c r="AH79" s="26">
        <f t="shared" si="12"/>
        <v>-0.56116369862997484</v>
      </c>
      <c r="AI79" s="26">
        <f>C79+(AB79*Assumptions!$B$15)</f>
        <v>1870.336</v>
      </c>
      <c r="AJ79" s="7">
        <f t="shared" si="13"/>
        <v>-3.0003362958846692E-4</v>
      </c>
      <c r="AK79" s="27">
        <f t="shared" si="14"/>
        <v>-7.8223053428421747E-3</v>
      </c>
      <c r="AL79" s="28" t="str">
        <f>IF(AND(AD79&gt;0,AK79  &gt; Assumptions!$B$13), "ENTER", "DONT ENTER")</f>
        <v>DONT ENTER</v>
      </c>
    </row>
    <row r="80" spans="1:38" x14ac:dyDescent="0.3">
      <c r="A80" s="25">
        <v>45917</v>
      </c>
      <c r="B80" s="3" t="s">
        <v>26</v>
      </c>
      <c r="C80" s="26">
        <f>VLOOKUP(A80, Raw_Data_Reliance!A:N, 8, FALSE)</f>
        <v>1413.8</v>
      </c>
      <c r="E80" s="36"/>
      <c r="L80" s="37"/>
      <c r="M80" s="37"/>
      <c r="Q80" s="36"/>
      <c r="X80" s="37"/>
      <c r="Y80" s="37"/>
      <c r="AB80" s="26">
        <f>VLOOKUP(A80, Raw_Data_Reliance!AQ:BE, 8, FALSE)</f>
        <v>1416.7</v>
      </c>
      <c r="AC80" s="25">
        <f>Assumptions!$B$32</f>
        <v>45930</v>
      </c>
      <c r="AD80" s="3">
        <f t="shared" si="10"/>
        <v>13</v>
      </c>
      <c r="AE80" s="3">
        <f>C80*(1+(Assumptions!$B$13*AD80/365))</f>
        <v>1417.0478665753424</v>
      </c>
      <c r="AF80" s="26">
        <f t="shared" si="11"/>
        <v>-0.3478665753423229</v>
      </c>
      <c r="AG80" s="3">
        <f>(C80*Assumptions!$B$16)+(AB80*Assumptions!$B$17)</f>
        <v>0.99024000000000001</v>
      </c>
      <c r="AH80" s="26">
        <f t="shared" si="12"/>
        <v>-1.3381065753423229</v>
      </c>
      <c r="AI80" s="26">
        <f>C80+(AB80*Assumptions!$B$15)</f>
        <v>1881.3109999999999</v>
      </c>
      <c r="AJ80" s="7">
        <f t="shared" si="13"/>
        <v>-7.1126282435085054E-4</v>
      </c>
      <c r="AK80" s="27">
        <f t="shared" si="14"/>
        <v>-1.997007160677388E-2</v>
      </c>
      <c r="AL80" s="28" t="str">
        <f>IF(AND(AD80&gt;0,AK80  &gt; Assumptions!$B$13), "ENTER", "DONT ENTER")</f>
        <v>DONT ENTER</v>
      </c>
    </row>
    <row r="81" spans="1:38" x14ac:dyDescent="0.3">
      <c r="A81" s="25">
        <v>45918</v>
      </c>
      <c r="B81" s="3" t="s">
        <v>26</v>
      </c>
      <c r="C81" s="26">
        <f>VLOOKUP(A81, Raw_Data_Reliance!A:N, 8, FALSE)</f>
        <v>1415</v>
      </c>
      <c r="E81" s="36"/>
      <c r="L81" s="37"/>
      <c r="M81" s="37"/>
      <c r="Q81" s="36"/>
      <c r="X81" s="37"/>
      <c r="Y81" s="37"/>
      <c r="AB81" s="26">
        <f>VLOOKUP(A81, Raw_Data_Reliance!AQ:BE, 8, FALSE)</f>
        <v>1418.5</v>
      </c>
      <c r="AC81" s="25">
        <f>Assumptions!$B$32</f>
        <v>45930</v>
      </c>
      <c r="AD81" s="3">
        <f t="shared" si="10"/>
        <v>12</v>
      </c>
      <c r="AE81" s="3">
        <f>C81*(1+(Assumptions!$B$13*AD81/365))</f>
        <v>1418.0005753424659</v>
      </c>
      <c r="AF81" s="26">
        <f t="shared" si="11"/>
        <v>0.49942465753406395</v>
      </c>
      <c r="AG81" s="3">
        <f>(C81*Assumptions!$B$16)+(AB81*Assumptions!$B$17)</f>
        <v>0.99120000000000008</v>
      </c>
      <c r="AH81" s="26">
        <f t="shared" si="12"/>
        <v>-0.49177534246593613</v>
      </c>
      <c r="AI81" s="26">
        <f>C81+(AB81*Assumptions!$B$15)</f>
        <v>1883.105</v>
      </c>
      <c r="AJ81" s="7">
        <f t="shared" si="13"/>
        <v>-2.6115131257467648E-4</v>
      </c>
      <c r="AK81" s="27">
        <f t="shared" si="14"/>
        <v>-7.9433524241464097E-3</v>
      </c>
      <c r="AL81" s="28" t="str">
        <f>IF(AND(AD81&gt;0,AK81  &gt; Assumptions!$B$13), "ENTER", "DONT ENTER")</f>
        <v>DONT ENTER</v>
      </c>
    </row>
    <row r="82" spans="1:38" x14ac:dyDescent="0.3">
      <c r="A82" s="25">
        <v>45919</v>
      </c>
      <c r="B82" s="3" t="s">
        <v>26</v>
      </c>
      <c r="C82" s="26">
        <f>VLOOKUP(A82, Raw_Data_Reliance!A:N, 8, FALSE)</f>
        <v>1407.4</v>
      </c>
      <c r="E82" s="36"/>
      <c r="L82" s="37"/>
      <c r="M82" s="37"/>
      <c r="Q82" s="36"/>
      <c r="X82" s="37"/>
      <c r="Y82" s="37"/>
      <c r="AB82" s="26">
        <f>VLOOKUP(A82, Raw_Data_Reliance!AQ:BE, 8, FALSE)</f>
        <v>1412.1</v>
      </c>
      <c r="AC82" s="25">
        <f>Assumptions!$B$32</f>
        <v>45930</v>
      </c>
      <c r="AD82" s="3">
        <f t="shared" si="10"/>
        <v>11</v>
      </c>
      <c r="AE82" s="3">
        <f>C82*(1+(Assumptions!$B$13*AD82/365))</f>
        <v>1410.1357542465753</v>
      </c>
      <c r="AF82" s="26">
        <f t="shared" si="11"/>
        <v>1.9642457534246205</v>
      </c>
      <c r="AG82" s="3">
        <f>(C82*Assumptions!$B$16)+(AB82*Assumptions!$B$17)</f>
        <v>0.98612000000000011</v>
      </c>
      <c r="AH82" s="26">
        <f t="shared" si="12"/>
        <v>0.97812575342462038</v>
      </c>
      <c r="AI82" s="26">
        <f>C82+(AB82*Assumptions!$B$15)</f>
        <v>1873.393</v>
      </c>
      <c r="AJ82" s="7">
        <f t="shared" si="13"/>
        <v>5.2211455547480977E-4</v>
      </c>
      <c r="AK82" s="27">
        <f t="shared" si="14"/>
        <v>1.732471024984596E-2</v>
      </c>
      <c r="AL82" s="28" t="str">
        <f>IF(AND(AD82&gt;0,AK82  &gt; Assumptions!$B$13), "ENTER", "DONT ENTER")</f>
        <v>DONT ENTER</v>
      </c>
    </row>
    <row r="83" spans="1:38" x14ac:dyDescent="0.3">
      <c r="A83" s="25">
        <v>45920</v>
      </c>
      <c r="B83" s="3" t="s">
        <v>26</v>
      </c>
      <c r="C83" s="3" t="e">
        <f>VLOOKUP(A83, Raw_Data_Reliance!A:N, 8, FALSE)</f>
        <v>#N/A</v>
      </c>
      <c r="E83" s="36"/>
      <c r="L83" s="37"/>
      <c r="M83" s="37"/>
      <c r="Q83" s="36"/>
      <c r="X83" s="37"/>
      <c r="Y83" s="37"/>
      <c r="AB83" s="3" t="e">
        <f>VLOOKUP(A83, Raw_Data_Reliance!AQ:BE, 8, FALSE)</f>
        <v>#N/A</v>
      </c>
      <c r="AC83" s="25">
        <f>Assumptions!$B$32</f>
        <v>45930</v>
      </c>
      <c r="AD83" s="3">
        <f t="shared" si="10"/>
        <v>10</v>
      </c>
      <c r="AE83" s="3" t="e">
        <f>C83*(1+(Assumptions!$B$13*AD83/365))</f>
        <v>#N/A</v>
      </c>
      <c r="AF83" s="3" t="e">
        <f t="shared" si="11"/>
        <v>#N/A</v>
      </c>
      <c r="AG83" s="3" t="e">
        <f>(C83*Assumptions!$B$16)+(AB83*Assumptions!$B$17)</f>
        <v>#N/A</v>
      </c>
      <c r="AH83" s="3" t="e">
        <f t="shared" si="12"/>
        <v>#N/A</v>
      </c>
      <c r="AI83" s="3" t="e">
        <f>C83+(AB83*Assumptions!$B$15)</f>
        <v>#N/A</v>
      </c>
      <c r="AJ83" s="7" t="e">
        <f t="shared" si="13"/>
        <v>#N/A</v>
      </c>
      <c r="AK83" s="7" t="e">
        <f t="shared" si="14"/>
        <v>#N/A</v>
      </c>
      <c r="AL83" s="3" t="e">
        <f>IF(AND(AD83&gt;0,AK83  &gt; Assumptions!$B$13), "ENTER", "DONT ENTER")</f>
        <v>#N/A</v>
      </c>
    </row>
    <row r="84" spans="1:38" x14ac:dyDescent="0.3">
      <c r="A84" s="25">
        <v>45921</v>
      </c>
      <c r="B84" s="3" t="s">
        <v>26</v>
      </c>
      <c r="C84" s="3" t="e">
        <f>VLOOKUP(A84, Raw_Data_Reliance!A:N, 8, FALSE)</f>
        <v>#N/A</v>
      </c>
      <c r="E84" s="36"/>
      <c r="L84" s="37"/>
      <c r="M84" s="37"/>
      <c r="Q84" s="36"/>
      <c r="X84" s="37"/>
      <c r="Y84" s="37"/>
      <c r="AB84" s="3" t="e">
        <f>VLOOKUP(A84, Raw_Data_Reliance!AQ:BE, 8, FALSE)</f>
        <v>#N/A</v>
      </c>
      <c r="AC84" s="25">
        <f>Assumptions!$B$32</f>
        <v>45930</v>
      </c>
      <c r="AD84" s="3">
        <f t="shared" si="10"/>
        <v>9</v>
      </c>
      <c r="AE84" s="3" t="e">
        <f>C84*(1+(Assumptions!$B$13*AD84/365))</f>
        <v>#N/A</v>
      </c>
      <c r="AF84" s="3" t="e">
        <f t="shared" si="11"/>
        <v>#N/A</v>
      </c>
      <c r="AG84" s="3" t="e">
        <f>(C84*Assumptions!$B$16)+(AB84*Assumptions!$B$17)</f>
        <v>#N/A</v>
      </c>
      <c r="AH84" s="3" t="e">
        <f t="shared" si="12"/>
        <v>#N/A</v>
      </c>
      <c r="AI84" s="3" t="e">
        <f>C84+(AB84*Assumptions!$B$15)</f>
        <v>#N/A</v>
      </c>
      <c r="AJ84" s="7" t="e">
        <f t="shared" si="13"/>
        <v>#N/A</v>
      </c>
      <c r="AK84" s="7" t="e">
        <f t="shared" si="14"/>
        <v>#N/A</v>
      </c>
      <c r="AL84" s="3" t="e">
        <f>IF(AND(AD84&gt;0,AK84  &gt; Assumptions!$B$13), "ENTER", "DONT ENTER")</f>
        <v>#N/A</v>
      </c>
    </row>
    <row r="85" spans="1:38" x14ac:dyDescent="0.3">
      <c r="A85" s="25">
        <v>45922</v>
      </c>
      <c r="B85" s="3" t="s">
        <v>26</v>
      </c>
      <c r="C85" s="26">
        <f>VLOOKUP(A85, Raw_Data_Reliance!A:N, 8, FALSE)</f>
        <v>1390.6</v>
      </c>
      <c r="E85" s="36"/>
      <c r="L85" s="37"/>
      <c r="M85" s="37"/>
      <c r="Q85" s="36"/>
      <c r="X85" s="37"/>
      <c r="Y85" s="37"/>
      <c r="AB85" s="26">
        <f>VLOOKUP(A85, Raw_Data_Reliance!AQ:BE, 8, FALSE)</f>
        <v>1395</v>
      </c>
      <c r="AC85" s="25">
        <f>Assumptions!$B$32</f>
        <v>45930</v>
      </c>
      <c r="AD85" s="3">
        <f t="shared" si="10"/>
        <v>8</v>
      </c>
      <c r="AE85" s="3">
        <f>C85*(1+(Assumptions!$B$13*AD85/365))</f>
        <v>1392.5658893150683</v>
      </c>
      <c r="AF85" s="26">
        <f t="shared" si="11"/>
        <v>2.4341106849317384</v>
      </c>
      <c r="AG85" s="3">
        <f>(C85*Assumptions!$B$16)+(AB85*Assumptions!$B$17)</f>
        <v>0.97429999999999994</v>
      </c>
      <c r="AH85" s="26">
        <f t="shared" si="12"/>
        <v>1.4598106849317385</v>
      </c>
      <c r="AI85" s="26">
        <f>C85+(AB85*Assumptions!$B$15)</f>
        <v>1850.9499999999998</v>
      </c>
      <c r="AJ85" s="7">
        <f t="shared" si="13"/>
        <v>7.8868185792794977E-4</v>
      </c>
      <c r="AK85" s="27">
        <f t="shared" si="14"/>
        <v>3.5983609767962707E-2</v>
      </c>
      <c r="AL85" s="28" t="str">
        <f>IF(AND(AD85&gt;0,AK85  &gt; Assumptions!$B$13), "ENTER", "DONT ENTER")</f>
        <v>DONT ENTER</v>
      </c>
    </row>
    <row r="86" spans="1:38" x14ac:dyDescent="0.3">
      <c r="A86" s="25">
        <v>45923</v>
      </c>
      <c r="B86" s="3" t="s">
        <v>26</v>
      </c>
      <c r="C86" s="26">
        <f>VLOOKUP(A86, Raw_Data_Reliance!A:N, 8, FALSE)</f>
        <v>1389.8</v>
      </c>
      <c r="E86" s="36"/>
      <c r="L86" s="37"/>
      <c r="M86" s="37"/>
      <c r="Q86" s="36"/>
      <c r="X86" s="37"/>
      <c r="Y86" s="37"/>
      <c r="AB86" s="26">
        <f>VLOOKUP(A86, Raw_Data_Reliance!AQ:BE, 8, FALSE)</f>
        <v>1394.9</v>
      </c>
      <c r="AC86" s="25">
        <f>Assumptions!$B$32</f>
        <v>45930</v>
      </c>
      <c r="AD86" s="3">
        <f t="shared" si="10"/>
        <v>7</v>
      </c>
      <c r="AE86" s="3">
        <f>C86*(1+(Assumptions!$B$13*AD86/365))</f>
        <v>1391.5191635616438</v>
      </c>
      <c r="AF86" s="26">
        <f t="shared" si="11"/>
        <v>3.3808364383562548</v>
      </c>
      <c r="AG86" s="3">
        <f>(C86*Assumptions!$B$16)+(AB86*Assumptions!$B$17)</f>
        <v>0.97387999999999997</v>
      </c>
      <c r="AH86" s="26">
        <f t="shared" si="12"/>
        <v>2.4069564383562549</v>
      </c>
      <c r="AI86" s="26">
        <f>C86+(AB86*Assumptions!$B$15)</f>
        <v>1850.117</v>
      </c>
      <c r="AJ86" s="7">
        <f t="shared" si="13"/>
        <v>1.3009752563520334E-3</v>
      </c>
      <c r="AK86" s="29">
        <f t="shared" si="14"/>
        <v>6.7836566938356033E-2</v>
      </c>
      <c r="AL86" s="30" t="str">
        <f>IF(AND(AD86&gt;0,AK86  &gt; Assumptions!$B$13), "ENTER", "DONT ENTER")</f>
        <v>ENTER</v>
      </c>
    </row>
    <row r="87" spans="1:38" x14ac:dyDescent="0.3">
      <c r="A87" s="25">
        <v>45924</v>
      </c>
      <c r="B87" s="3" t="s">
        <v>26</v>
      </c>
      <c r="C87" s="26">
        <f>VLOOKUP(A87, Raw_Data_Reliance!A:N, 8, FALSE)</f>
        <v>1383</v>
      </c>
      <c r="E87" s="36"/>
      <c r="L87" s="37"/>
      <c r="M87" s="37"/>
      <c r="Q87" s="36"/>
      <c r="X87" s="37"/>
      <c r="Y87" s="37"/>
      <c r="AB87" s="26">
        <f>VLOOKUP(A87, Raw_Data_Reliance!AQ:BE, 8, FALSE)</f>
        <v>1386.7</v>
      </c>
      <c r="AC87" s="25">
        <f>Assumptions!$B$32</f>
        <v>45930</v>
      </c>
      <c r="AD87" s="3">
        <f t="shared" si="10"/>
        <v>6</v>
      </c>
      <c r="AE87" s="3">
        <f>C87*(1+(Assumptions!$B$13*AD87/365))</f>
        <v>1384.4663589041095</v>
      </c>
      <c r="AF87" s="26">
        <f t="shared" si="11"/>
        <v>2.2336410958905617</v>
      </c>
      <c r="AG87" s="3">
        <f>(C87*Assumptions!$B$16)+(AB87*Assumptions!$B$17)</f>
        <v>0.96884000000000003</v>
      </c>
      <c r="AH87" s="26">
        <f t="shared" si="12"/>
        <v>1.2648010958905616</v>
      </c>
      <c r="AI87" s="26">
        <f>C87+(AB87*Assumptions!$B$15)</f>
        <v>1840.6110000000001</v>
      </c>
      <c r="AJ87" s="7">
        <f t="shared" si="13"/>
        <v>6.8716371677152936E-4</v>
      </c>
      <c r="AK87" s="27">
        <f t="shared" si="14"/>
        <v>4.1802459436934704E-2</v>
      </c>
      <c r="AL87" s="28" t="str">
        <f>IF(AND(AD87&gt;0,AK87  &gt; Assumptions!$B$13), "ENTER", "DONT ENTER")</f>
        <v>DONT ENTER</v>
      </c>
    </row>
    <row r="88" spans="1:38" x14ac:dyDescent="0.3">
      <c r="A88" s="25">
        <v>45925</v>
      </c>
      <c r="B88" s="3" t="s">
        <v>26</v>
      </c>
      <c r="C88" s="26">
        <f>VLOOKUP(A88, Raw_Data_Reliance!A:N, 8, FALSE)</f>
        <v>1372.4</v>
      </c>
      <c r="E88" s="36"/>
      <c r="L88" s="37"/>
      <c r="M88" s="37"/>
      <c r="Q88" s="36"/>
      <c r="X88" s="37"/>
      <c r="Y88" s="37"/>
      <c r="AB88" s="26">
        <f>VLOOKUP(A88, Raw_Data_Reliance!AQ:BE, 8, FALSE)</f>
        <v>1376.6</v>
      </c>
      <c r="AC88" s="25">
        <f>Assumptions!$B$32</f>
        <v>45930</v>
      </c>
      <c r="AD88" s="3">
        <f t="shared" si="10"/>
        <v>5</v>
      </c>
      <c r="AE88" s="3">
        <f>C88*(1+(Assumptions!$B$13*AD88/365))</f>
        <v>1373.6126000000002</v>
      </c>
      <c r="AF88" s="26">
        <f t="shared" si="11"/>
        <v>2.9873999999997523</v>
      </c>
      <c r="AG88" s="3">
        <f>(C88*Assumptions!$B$16)+(AB88*Assumptions!$B$17)</f>
        <v>0.96152000000000004</v>
      </c>
      <c r="AH88" s="26">
        <f t="shared" si="12"/>
        <v>2.0258799999997521</v>
      </c>
      <c r="AI88" s="26">
        <f>C88+(AB88*Assumptions!$B$15)</f>
        <v>1826.6780000000001</v>
      </c>
      <c r="AJ88" s="7">
        <f t="shared" si="13"/>
        <v>1.1090515131839066E-3</v>
      </c>
      <c r="AK88" s="29">
        <f t="shared" si="14"/>
        <v>8.0960760462425188E-2</v>
      </c>
      <c r="AL88" s="30" t="str">
        <f>IF(AND(AD88&gt;0,AK88  &gt; Assumptions!$B$13), "ENTER", "DONT ENTER")</f>
        <v>ENTER</v>
      </c>
    </row>
    <row r="89" spans="1:38" x14ac:dyDescent="0.3">
      <c r="A89" s="25">
        <v>45926</v>
      </c>
      <c r="B89" s="3" t="s">
        <v>26</v>
      </c>
      <c r="C89" s="26">
        <f>VLOOKUP(A89, Raw_Data_Reliance!A:N, 8, FALSE)</f>
        <v>1377.6</v>
      </c>
      <c r="E89" s="36"/>
      <c r="L89" s="37"/>
      <c r="M89" s="37"/>
      <c r="Q89" s="36"/>
      <c r="X89" s="37"/>
      <c r="Y89" s="37"/>
      <c r="AB89" s="26">
        <f>VLOOKUP(A89, Raw_Data_Reliance!AQ:BE, 8, FALSE)</f>
        <v>1376.5</v>
      </c>
      <c r="AC89" s="25">
        <f>Assumptions!$B$32</f>
        <v>45930</v>
      </c>
      <c r="AD89" s="3">
        <f t="shared" si="10"/>
        <v>4</v>
      </c>
      <c r="AE89" s="3">
        <f>C89*(1+(Assumptions!$B$13*AD89/365))</f>
        <v>1378.5737556164383</v>
      </c>
      <c r="AF89" s="26">
        <f t="shared" si="11"/>
        <v>-2.0737556164383477</v>
      </c>
      <c r="AG89" s="3">
        <f>(C89*Assumptions!$B$16)+(AB89*Assumptions!$B$17)</f>
        <v>0.96409999999999996</v>
      </c>
      <c r="AH89" s="26">
        <f t="shared" si="12"/>
        <v>-3.0378556164383479</v>
      </c>
      <c r="AI89" s="26">
        <f>C89+(AB89*Assumptions!$B$15)</f>
        <v>1831.8449999999998</v>
      </c>
      <c r="AJ89" s="7">
        <f t="shared" si="13"/>
        <v>-1.6583584399544439E-3</v>
      </c>
      <c r="AK89" s="27">
        <f t="shared" si="14"/>
        <v>-0.15132520764584301</v>
      </c>
      <c r="AL89" s="28" t="str">
        <f>IF(AND(AD89&gt;0,AK89  &gt; Assumptions!$B$13), "ENTER", "DONT ENTER")</f>
        <v>DONT ENTER</v>
      </c>
    </row>
    <row r="90" spans="1:38" x14ac:dyDescent="0.3">
      <c r="A90" s="25">
        <v>45927</v>
      </c>
      <c r="B90" s="3" t="s">
        <v>26</v>
      </c>
      <c r="C90" s="3" t="e">
        <f>VLOOKUP(A90, Raw_Data_Reliance!A:N, 8, FALSE)</f>
        <v>#N/A</v>
      </c>
      <c r="E90" s="36"/>
      <c r="L90" s="37"/>
      <c r="M90" s="37"/>
      <c r="Q90" s="36"/>
      <c r="X90" s="37"/>
      <c r="Y90" s="37"/>
      <c r="AB90" s="3" t="e">
        <f>VLOOKUP(A90, Raw_Data_Reliance!AQ:BE, 8, FALSE)</f>
        <v>#N/A</v>
      </c>
      <c r="AC90" s="25">
        <f>Assumptions!$B$32</f>
        <v>45930</v>
      </c>
      <c r="AD90" s="3">
        <f t="shared" si="10"/>
        <v>3</v>
      </c>
      <c r="AE90" s="3" t="e">
        <f>C90*(1+(Assumptions!$B$13*AD90/365))</f>
        <v>#N/A</v>
      </c>
      <c r="AF90" s="3" t="e">
        <f t="shared" si="11"/>
        <v>#N/A</v>
      </c>
      <c r="AG90" s="3" t="e">
        <f>(C90*Assumptions!$B$16)+(AB90*Assumptions!$B$17)</f>
        <v>#N/A</v>
      </c>
      <c r="AH90" s="3" t="e">
        <f t="shared" si="12"/>
        <v>#N/A</v>
      </c>
      <c r="AI90" s="3" t="e">
        <f>C90+(AB90*Assumptions!$B$15)</f>
        <v>#N/A</v>
      </c>
      <c r="AJ90" s="7" t="e">
        <f t="shared" si="13"/>
        <v>#N/A</v>
      </c>
      <c r="AK90" s="7" t="e">
        <f t="shared" si="14"/>
        <v>#N/A</v>
      </c>
      <c r="AL90" s="3" t="e">
        <f>IF(AND(AD90&gt;0,AK90  &gt; Assumptions!$B$13), "ENTER", "DONT ENTER")</f>
        <v>#N/A</v>
      </c>
    </row>
    <row r="91" spans="1:38" x14ac:dyDescent="0.3">
      <c r="A91" s="25">
        <v>45928</v>
      </c>
      <c r="B91" s="3" t="s">
        <v>26</v>
      </c>
      <c r="C91" s="3" t="e">
        <f>VLOOKUP(A91, Raw_Data_Reliance!A:N, 8, FALSE)</f>
        <v>#N/A</v>
      </c>
      <c r="E91" s="36"/>
      <c r="L91" s="37"/>
      <c r="M91" s="37"/>
      <c r="Q91" s="36"/>
      <c r="X91" s="37"/>
      <c r="Y91" s="37"/>
      <c r="AB91" s="3" t="e">
        <f>VLOOKUP(A91, Raw_Data_Reliance!AQ:BE, 8, FALSE)</f>
        <v>#N/A</v>
      </c>
      <c r="AC91" s="25">
        <f>Assumptions!$B$32</f>
        <v>45930</v>
      </c>
      <c r="AD91" s="3">
        <f t="shared" si="10"/>
        <v>2</v>
      </c>
      <c r="AE91" s="3" t="e">
        <f>C91*(1+(Assumptions!$B$13*AD91/365))</f>
        <v>#N/A</v>
      </c>
      <c r="AF91" s="3" t="e">
        <f t="shared" si="11"/>
        <v>#N/A</v>
      </c>
      <c r="AG91" s="3" t="e">
        <f>(C91*Assumptions!$B$16)+(AB91*Assumptions!$B$17)</f>
        <v>#N/A</v>
      </c>
      <c r="AH91" s="3" t="e">
        <f t="shared" si="12"/>
        <v>#N/A</v>
      </c>
      <c r="AI91" s="3" t="e">
        <f>C91+(AB91*Assumptions!$B$15)</f>
        <v>#N/A</v>
      </c>
      <c r="AJ91" s="7" t="e">
        <f t="shared" si="13"/>
        <v>#N/A</v>
      </c>
      <c r="AK91" s="7" t="e">
        <f t="shared" si="14"/>
        <v>#N/A</v>
      </c>
      <c r="AL91" s="3" t="e">
        <f>IF(AND(AD91&gt;0,AK91  &gt; Assumptions!$B$13), "ENTER", "DONT ENTER")</f>
        <v>#N/A</v>
      </c>
    </row>
    <row r="92" spans="1:38" x14ac:dyDescent="0.3">
      <c r="A92" s="25">
        <v>45929</v>
      </c>
      <c r="B92" s="3" t="s">
        <v>26</v>
      </c>
      <c r="C92" s="26">
        <f>VLOOKUP(A92, Raw_Data_Reliance!A:N, 8, FALSE)</f>
        <v>1372.8</v>
      </c>
      <c r="E92" s="36"/>
      <c r="L92" s="37"/>
      <c r="M92" s="37"/>
      <c r="Q92" s="36"/>
      <c r="X92" s="37"/>
      <c r="Y92" s="37"/>
      <c r="AB92" s="26">
        <f>VLOOKUP(A92, Raw_Data_Reliance!AQ:BE, 8, FALSE)</f>
        <v>1374</v>
      </c>
      <c r="AC92" s="25">
        <f>Assumptions!$B$32</f>
        <v>45930</v>
      </c>
      <c r="AD92" s="3">
        <f t="shared" si="10"/>
        <v>1</v>
      </c>
      <c r="AE92" s="3">
        <f>C92*(1+(Assumptions!$B$13*AD92/365))</f>
        <v>1373.0425906849314</v>
      </c>
      <c r="AF92" s="26">
        <f t="shared" si="11"/>
        <v>0.95740931506861671</v>
      </c>
      <c r="AG92" s="3">
        <f>(C92*Assumptions!$B$16)+(AB92*Assumptions!$B$17)</f>
        <v>0.96120000000000005</v>
      </c>
      <c r="AH92" s="26">
        <f t="shared" si="12"/>
        <v>-3.7906849313833479E-3</v>
      </c>
      <c r="AI92" s="26">
        <f>C92+(AB92*Assumptions!$B$15)</f>
        <v>1826.22</v>
      </c>
      <c r="AJ92" s="7">
        <f t="shared" si="13"/>
        <v>-2.0757000423735079E-6</v>
      </c>
      <c r="AK92" s="27">
        <f t="shared" si="14"/>
        <v>-7.5763051546633034E-4</v>
      </c>
      <c r="AL92" s="28" t="str">
        <f>IF(AND(AD92&gt;0,AK92  &gt; Assumptions!$B$13), "ENTER", "DONT ENTER")</f>
        <v>DONT ENTER</v>
      </c>
    </row>
    <row r="93" spans="1:38" x14ac:dyDescent="0.3">
      <c r="A93" s="25">
        <v>45930</v>
      </c>
      <c r="B93" s="3" t="s">
        <v>26</v>
      </c>
      <c r="C93" s="26">
        <f>VLOOKUP(A93, Raw_Data_Reliance!A:N, 8, FALSE)</f>
        <v>1364</v>
      </c>
      <c r="E93" s="36"/>
      <c r="L93" s="37"/>
      <c r="M93" s="37"/>
      <c r="Q93" s="36"/>
      <c r="X93" s="37"/>
      <c r="Y93" s="37"/>
      <c r="AB93" s="26">
        <f>VLOOKUP(A93, Raw_Data_Reliance!AQ:BE, 8, FALSE)</f>
        <v>1363.2</v>
      </c>
      <c r="AC93" s="25">
        <f>Assumptions!$B$32</f>
        <v>45930</v>
      </c>
      <c r="AD93" s="3">
        <f t="shared" si="10"/>
        <v>0</v>
      </c>
      <c r="AE93" s="3">
        <f>C93*(1+(Assumptions!$B$13*AD93/365))</f>
        <v>1364</v>
      </c>
      <c r="AF93" s="26">
        <f t="shared" si="11"/>
        <v>-0.79999999999995453</v>
      </c>
      <c r="AG93" s="3">
        <f>(C93*Assumptions!$B$16)+(AB93*Assumptions!$B$17)</f>
        <v>0.95464000000000016</v>
      </c>
      <c r="AH93" s="26">
        <f t="shared" si="12"/>
        <v>-1.7546399999999547</v>
      </c>
      <c r="AI93" s="26">
        <f>C93+(AB93*Assumptions!$B$15)</f>
        <v>1813.856</v>
      </c>
      <c r="AJ93" s="7">
        <f t="shared" si="13"/>
        <v>-9.6735352751263308E-4</v>
      </c>
      <c r="AK93" s="7" t="e">
        <f t="shared" si="14"/>
        <v>#DIV/0!</v>
      </c>
      <c r="AL93" s="3" t="e">
        <f>IF(AND(AD93&gt;0,AK93  &gt; Assumptions!$B$13), "ENTER", "DONT ENTER")</f>
        <v>#DIV/0!</v>
      </c>
    </row>
    <row r="94" spans="1:38" x14ac:dyDescent="0.3">
      <c r="A94" s="25">
        <v>45839</v>
      </c>
      <c r="B94" s="3" t="s">
        <v>27</v>
      </c>
      <c r="C94" s="26">
        <f>VLOOKUP(A94, Raw_Data_Adani!A:N, 8, FALSE)</f>
        <v>2621.8</v>
      </c>
      <c r="D94" s="26">
        <f>VLOOKUP(A94, Raw_Data_Adani!O:Y, 8, FALSE)</f>
        <v>2631.7</v>
      </c>
      <c r="E94" s="25">
        <f>Assumptions!$B$30</f>
        <v>45869</v>
      </c>
      <c r="F94" s="3">
        <f t="shared" ref="F94:F124" si="15">E94-A94</f>
        <v>30</v>
      </c>
      <c r="G94" s="3">
        <f>C94*(1+(Assumptions!$B$19*F94/365))</f>
        <v>2622.877452054795</v>
      </c>
      <c r="H94" s="26">
        <f t="shared" ref="H94:H124" si="16">D94-G94</f>
        <v>8.8225479452048603</v>
      </c>
      <c r="I94" s="3">
        <f>(C94*Assumptions!$B$16)+(D94*Assumptions!$B$17)</f>
        <v>1.8372400000000002</v>
      </c>
      <c r="J94" s="26">
        <f t="shared" ref="J94:J124" si="17">H94-I94</f>
        <v>6.9853079452048599</v>
      </c>
      <c r="K94" s="26">
        <f>C94+(D94*Assumptions!$B$15)</f>
        <v>3490.2610000000004</v>
      </c>
      <c r="L94" s="7">
        <f t="shared" ref="L94:L124" si="18">J94/K94</f>
        <v>2.0013712284568E-3</v>
      </c>
      <c r="M94" s="27">
        <f t="shared" ref="M94:M124" si="19">L94*(365/F94)</f>
        <v>2.4350016612891066E-2</v>
      </c>
      <c r="N94" s="28" t="str">
        <f>IF(AND(F94&gt;0, M94 &gt; Assumptions!$B$13), "ENTER", "DONT ENTER")</f>
        <v>DONT ENTER</v>
      </c>
      <c r="P94" s="40">
        <f>VLOOKUP(A94, Raw_Data_Adani!AB:AP, 8, FALSE)</f>
        <v>2647</v>
      </c>
      <c r="Q94" s="8">
        <f>Assumptions!$B$31</f>
        <v>45897</v>
      </c>
      <c r="R94" s="3">
        <f t="shared" ref="R94:R152" si="20">Q94-A94</f>
        <v>58</v>
      </c>
      <c r="S94" s="3">
        <f>C94*(1+(Assumptions!$B$19*R94/365))</f>
        <v>2623.8830739726027</v>
      </c>
      <c r="T94" s="26">
        <f t="shared" ref="T94:T152" si="21">P94-S94</f>
        <v>23.116926027397312</v>
      </c>
      <c r="U94" s="3">
        <f>(C94*Assumptions!$B$16)+(P94*Assumptions!$B$17)</f>
        <v>1.8403</v>
      </c>
      <c r="V94" s="26">
        <f t="shared" ref="V94:V152" si="22">T94-U94</f>
        <v>21.276626027397313</v>
      </c>
      <c r="W94" s="26">
        <f>C94+(P94*Assumptions!$B$15)</f>
        <v>3495.3100000000004</v>
      </c>
      <c r="X94" s="7">
        <f t="shared" ref="X94:X152" si="23">V94/W94</f>
        <v>6.0871928462417667E-3</v>
      </c>
      <c r="Y94" s="27">
        <f t="shared" ref="Y94:Y152" si="24">X94*(365/R94)</f>
        <v>3.8307334291004219E-2</v>
      </c>
      <c r="Z94" s="28" t="str">
        <f>IF(AND(R94&gt;0,Y94  &gt; Assumptions!$B$13), "ENTER", "DONT ENTER")</f>
        <v>DONT ENTER</v>
      </c>
      <c r="AB94" s="40">
        <f>VLOOKUP(A94, Raw_Data_Adani!AQ:BE, 8, FALSE)</f>
        <v>2664.9</v>
      </c>
      <c r="AC94" s="25">
        <f>Assumptions!$B$32</f>
        <v>45930</v>
      </c>
      <c r="AD94" s="3">
        <f t="shared" si="10"/>
        <v>91</v>
      </c>
      <c r="AE94" s="3">
        <f>C94*(1+(Assumptions!$B$13*AD94/365))</f>
        <v>2663.9606989041094</v>
      </c>
      <c r="AF94" s="40">
        <f t="shared" si="11"/>
        <v>0.93930109589064159</v>
      </c>
      <c r="AG94" s="3">
        <f>(C94*Assumptions!$B$16)+(AB94*Assumptions!$B$17)</f>
        <v>1.8438800000000002</v>
      </c>
      <c r="AH94" s="40">
        <f t="shared" si="12"/>
        <v>-0.90457890410935859</v>
      </c>
      <c r="AI94" s="26">
        <f>C94+(AB94*Assumptions!$B$15)</f>
        <v>3501.2170000000001</v>
      </c>
      <c r="AJ94" s="7">
        <f t="shared" si="13"/>
        <v>-2.5836127955204105E-4</v>
      </c>
      <c r="AK94" s="27">
        <f t="shared" si="14"/>
        <v>-1.0362842531482965E-3</v>
      </c>
      <c r="AL94" s="28" t="str">
        <f>IF(AND(AD94&gt;0,AK94  &gt; Assumptions!$B$13), "ENTER", "DONT ENTER")</f>
        <v>DONT ENTER</v>
      </c>
    </row>
    <row r="95" spans="1:38" x14ac:dyDescent="0.3">
      <c r="A95" s="25">
        <v>45840</v>
      </c>
      <c r="B95" s="3" t="s">
        <v>27</v>
      </c>
      <c r="C95" s="26">
        <f>VLOOKUP(A95, Raw_Data_Adani!A:N, 8, FALSE)</f>
        <v>2630.2</v>
      </c>
      <c r="D95" s="26">
        <f>VLOOKUP(A95, Raw_Data_Adani!O:Y, 8, FALSE)</f>
        <v>2644.4</v>
      </c>
      <c r="E95" s="25">
        <f>Assumptions!$B$30</f>
        <v>45869</v>
      </c>
      <c r="F95" s="3">
        <f t="shared" si="15"/>
        <v>29</v>
      </c>
      <c r="G95" s="3">
        <f>C95*(1+(Assumptions!$B$19*F95/365))</f>
        <v>2631.2448739726024</v>
      </c>
      <c r="H95" s="26">
        <f t="shared" si="16"/>
        <v>13.155126027397728</v>
      </c>
      <c r="I95" s="3">
        <f>(C95*Assumptions!$B$16)+(D95*Assumptions!$B$17)</f>
        <v>1.84398</v>
      </c>
      <c r="J95" s="26">
        <f t="shared" si="17"/>
        <v>11.311146027397728</v>
      </c>
      <c r="K95" s="26">
        <f>C95+(D95*Assumptions!$B$15)</f>
        <v>3502.8519999999999</v>
      </c>
      <c r="L95" s="7">
        <f t="shared" si="18"/>
        <v>3.2291247324744889E-3</v>
      </c>
      <c r="M95" s="27">
        <f t="shared" si="19"/>
        <v>4.0642431977696153E-2</v>
      </c>
      <c r="N95" s="28" t="str">
        <f>IF(AND(F95&gt;0, M95 &gt; Assumptions!$B$13), "ENTER", "DONT ENTER")</f>
        <v>DONT ENTER</v>
      </c>
      <c r="P95" s="40">
        <f>VLOOKUP(A95, Raw_Data_Adani!AB:AP, 8, FALSE)</f>
        <v>2658.9</v>
      </c>
      <c r="Q95" s="8">
        <f>Assumptions!$B$31</f>
        <v>45897</v>
      </c>
      <c r="R95" s="3">
        <f t="shared" si="20"/>
        <v>57</v>
      </c>
      <c r="S95" s="3">
        <f>C95*(1+(Assumptions!$B$19*R95/365))</f>
        <v>2632.2537178082189</v>
      </c>
      <c r="T95" s="26">
        <f t="shared" si="21"/>
        <v>26.646282191781211</v>
      </c>
      <c r="U95" s="3">
        <f>(C95*Assumptions!$B$16)+(P95*Assumptions!$B$17)</f>
        <v>1.8468800000000001</v>
      </c>
      <c r="V95" s="26">
        <f t="shared" si="22"/>
        <v>24.799402191781212</v>
      </c>
      <c r="W95" s="26">
        <f>C95+(P95*Assumptions!$B$15)</f>
        <v>3507.6369999999997</v>
      </c>
      <c r="X95" s="7">
        <f t="shared" si="23"/>
        <v>7.070116489186656E-3</v>
      </c>
      <c r="Y95" s="27">
        <f t="shared" si="24"/>
        <v>4.5273552957072444E-2</v>
      </c>
      <c r="Z95" s="28" t="str">
        <f>IF(AND(R95&gt;0,Y95  &gt; Assumptions!$B$13), "ENTER", "DONT ENTER")</f>
        <v>DONT ENTER</v>
      </c>
      <c r="AB95" s="40">
        <f>VLOOKUP(A95, Raw_Data_Adani!AQ:BE, 8, FALSE)</f>
        <v>2673.4</v>
      </c>
      <c r="AC95" s="25">
        <f>Assumptions!$B$32</f>
        <v>45930</v>
      </c>
      <c r="AD95" s="3">
        <f t="shared" si="10"/>
        <v>90</v>
      </c>
      <c r="AE95" s="3">
        <f>C95*(1+(Assumptions!$B$13*AD95/365))</f>
        <v>2672.0309890410958</v>
      </c>
      <c r="AF95" s="40">
        <f t="shared" si="11"/>
        <v>1.3690109589042549</v>
      </c>
      <c r="AG95" s="3">
        <f>(C95*Assumptions!$B$16)+(AB95*Assumptions!$B$17)</f>
        <v>1.84978</v>
      </c>
      <c r="AH95" s="40">
        <f t="shared" si="12"/>
        <v>-0.48076904109574503</v>
      </c>
      <c r="AI95" s="26">
        <f>C95+(AB95*Assumptions!$B$15)</f>
        <v>3512.422</v>
      </c>
      <c r="AJ95" s="7">
        <f t="shared" si="13"/>
        <v>-1.3687678789614261E-4</v>
      </c>
      <c r="AK95" s="27">
        <f t="shared" si="14"/>
        <v>-5.5511141757880059E-4</v>
      </c>
      <c r="AL95" s="28" t="str">
        <f>IF(AND(AD95&gt;0,AK95  &gt; Assumptions!$B$13), "ENTER", "DONT ENTER")</f>
        <v>DONT ENTER</v>
      </c>
    </row>
    <row r="96" spans="1:38" x14ac:dyDescent="0.3">
      <c r="A96" s="25">
        <v>45841</v>
      </c>
      <c r="B96" s="3" t="s">
        <v>27</v>
      </c>
      <c r="C96" s="26">
        <f>VLOOKUP(A96, Raw_Data_Adani!A:N, 8, FALSE)</f>
        <v>2611.1999999999998</v>
      </c>
      <c r="D96" s="26">
        <f>VLOOKUP(A96, Raw_Data_Adani!O:Y, 8, FALSE)</f>
        <v>2626.6</v>
      </c>
      <c r="E96" s="25">
        <f>Assumptions!$B$30</f>
        <v>45869</v>
      </c>
      <c r="F96" s="3">
        <f t="shared" si="15"/>
        <v>28</v>
      </c>
      <c r="G96" s="3">
        <f>C96*(1+(Assumptions!$B$19*F96/365))</f>
        <v>2612.2015561643834</v>
      </c>
      <c r="H96" s="26">
        <f t="shared" si="16"/>
        <v>14.39844383561649</v>
      </c>
      <c r="I96" s="3">
        <f>(C96*Assumptions!$B$16)+(D96*Assumptions!$B$17)</f>
        <v>1.8309199999999999</v>
      </c>
      <c r="J96" s="26">
        <f t="shared" si="17"/>
        <v>12.567523835616491</v>
      </c>
      <c r="K96" s="26">
        <f>C96+(D96*Assumptions!$B$15)</f>
        <v>3477.9780000000001</v>
      </c>
      <c r="L96" s="7">
        <f t="shared" si="18"/>
        <v>3.613456967127593E-3</v>
      </c>
      <c r="M96" s="27">
        <f t="shared" si="19"/>
        <v>4.7103992607198983E-2</v>
      </c>
      <c r="N96" s="28" t="str">
        <f>IF(AND(F96&gt;0, M96 &gt; Assumptions!$B$13), "ENTER", "DONT ENTER")</f>
        <v>DONT ENTER</v>
      </c>
      <c r="P96" s="40">
        <f>VLOOKUP(A96, Raw_Data_Adani!AB:AP, 8, FALSE)</f>
        <v>2640.1</v>
      </c>
      <c r="Q96" s="8">
        <f>Assumptions!$B$31</f>
        <v>45897</v>
      </c>
      <c r="R96" s="3">
        <f t="shared" si="20"/>
        <v>56</v>
      </c>
      <c r="S96" s="3">
        <f>C96*(1+(Assumptions!$B$19*R96/365))</f>
        <v>2613.2031123287666</v>
      </c>
      <c r="T96" s="26">
        <f t="shared" si="21"/>
        <v>26.896887671233344</v>
      </c>
      <c r="U96" s="3">
        <f>(C96*Assumptions!$B$16)+(P96*Assumptions!$B$17)</f>
        <v>1.8336199999999998</v>
      </c>
      <c r="V96" s="26">
        <f t="shared" si="22"/>
        <v>25.063267671233344</v>
      </c>
      <c r="W96" s="26">
        <f>C96+(P96*Assumptions!$B$15)</f>
        <v>3482.433</v>
      </c>
      <c r="X96" s="7">
        <f t="shared" si="23"/>
        <v>7.197056675959981E-3</v>
      </c>
      <c r="Y96" s="27">
        <f t="shared" si="24"/>
        <v>4.6909387262953448E-2</v>
      </c>
      <c r="Z96" s="28" t="str">
        <f>IF(AND(R96&gt;0,Y96  &gt; Assumptions!$B$13), "ENTER", "DONT ENTER")</f>
        <v>DONT ENTER</v>
      </c>
      <c r="AB96" s="40">
        <f>VLOOKUP(A96, Raw_Data_Adani!AQ:BE, 8, FALSE)</f>
        <v>2668</v>
      </c>
      <c r="AC96" s="25">
        <f>Assumptions!$B$32</f>
        <v>45930</v>
      </c>
      <c r="AD96" s="3">
        <f t="shared" si="10"/>
        <v>89</v>
      </c>
      <c r="AE96" s="3">
        <f>C96*(1+(Assumptions!$B$13*AD96/365))</f>
        <v>2652.2673797260272</v>
      </c>
      <c r="AF96" s="40">
        <f t="shared" si="11"/>
        <v>15.732620273972771</v>
      </c>
      <c r="AG96" s="3">
        <f>(C96*Assumptions!$B$16)+(AB96*Assumptions!$B$17)</f>
        <v>1.8391999999999999</v>
      </c>
      <c r="AH96" s="40">
        <f t="shared" si="12"/>
        <v>13.893420273972771</v>
      </c>
      <c r="AI96" s="26">
        <f>C96+(AB96*Assumptions!$B$15)</f>
        <v>3491.64</v>
      </c>
      <c r="AJ96" s="7">
        <f t="shared" si="13"/>
        <v>3.9790529017804735E-3</v>
      </c>
      <c r="AK96" s="27">
        <f t="shared" si="14"/>
        <v>1.6318587743256997E-2</v>
      </c>
      <c r="AL96" s="28" t="str">
        <f>IF(AND(AD96&gt;0,AK96  &gt; Assumptions!$B$13), "ENTER", "DONT ENTER")</f>
        <v>DONT ENTER</v>
      </c>
    </row>
    <row r="97" spans="1:38" x14ac:dyDescent="0.3">
      <c r="A97" s="25">
        <v>45842</v>
      </c>
      <c r="B97" s="3" t="s">
        <v>27</v>
      </c>
      <c r="C97" s="26">
        <f>VLOOKUP(A97, Raw_Data_Adani!A:N, 8, FALSE)</f>
        <v>2599.1</v>
      </c>
      <c r="D97" s="26">
        <f>VLOOKUP(A97, Raw_Data_Adani!O:Y, 8, FALSE)</f>
        <v>2609.6</v>
      </c>
      <c r="E97" s="25">
        <f>Assumptions!$B$30</f>
        <v>45869</v>
      </c>
      <c r="F97" s="3">
        <f t="shared" si="15"/>
        <v>27</v>
      </c>
      <c r="G97" s="3">
        <f>C97*(1+(Assumptions!$B$19*F97/365))</f>
        <v>2600.061310958904</v>
      </c>
      <c r="H97" s="26">
        <f t="shared" si="16"/>
        <v>9.5386890410959495</v>
      </c>
      <c r="I97" s="3">
        <f>(C97*Assumptions!$B$16)+(D97*Assumptions!$B$17)</f>
        <v>1.8214700000000001</v>
      </c>
      <c r="J97" s="26">
        <f t="shared" si="17"/>
        <v>7.7172190410959498</v>
      </c>
      <c r="K97" s="26">
        <f>C97+(D97*Assumptions!$B$15)</f>
        <v>3460.268</v>
      </c>
      <c r="L97" s="7">
        <f t="shared" si="18"/>
        <v>2.23023738077396E-3</v>
      </c>
      <c r="M97" s="27">
        <f t="shared" si="19"/>
        <v>3.0149505332685015E-2</v>
      </c>
      <c r="N97" s="28" t="str">
        <f>IF(AND(F97&gt;0, M97 &gt; Assumptions!$B$13), "ENTER", "DONT ENTER")</f>
        <v>DONT ENTER</v>
      </c>
      <c r="P97" s="26">
        <f>VLOOKUP(A97, Raw_Data_Adani!AB:AP, 8, FALSE)</f>
        <v>2622.9</v>
      </c>
      <c r="Q97" s="8">
        <f>Assumptions!$B$31</f>
        <v>45897</v>
      </c>
      <c r="R97" s="3">
        <f t="shared" si="20"/>
        <v>55</v>
      </c>
      <c r="S97" s="3">
        <f>C97*(1+(Assumptions!$B$19*R97/365))</f>
        <v>2601.0582260273973</v>
      </c>
      <c r="T97" s="26">
        <f t="shared" si="21"/>
        <v>21.841773972602823</v>
      </c>
      <c r="U97" s="3">
        <f>(C97*Assumptions!$B$16)+(P97*Assumptions!$B$17)</f>
        <v>1.82413</v>
      </c>
      <c r="V97" s="26">
        <f t="shared" si="22"/>
        <v>20.017643972602823</v>
      </c>
      <c r="W97" s="26">
        <f>C97+(P97*Assumptions!$B$15)</f>
        <v>3464.6570000000002</v>
      </c>
      <c r="X97" s="7">
        <f t="shared" si="23"/>
        <v>5.7776697585367968E-3</v>
      </c>
      <c r="Y97" s="27">
        <f t="shared" si="24"/>
        <v>3.834271748847147E-2</v>
      </c>
      <c r="Z97" s="28" t="str">
        <f>IF(AND(R97&gt;0,Y97  &gt; Assumptions!$B$13), "ENTER", "DONT ENTER")</f>
        <v>DONT ENTER</v>
      </c>
      <c r="AB97" s="26">
        <f>VLOOKUP(A97, Raw_Data_Adani!AQ:BE, 8, FALSE)</f>
        <v>2638.5</v>
      </c>
      <c r="AC97" s="25">
        <f>Assumptions!$B$32</f>
        <v>45930</v>
      </c>
      <c r="AD97" s="3">
        <f t="shared" si="10"/>
        <v>88</v>
      </c>
      <c r="AE97" s="3">
        <f>C97*(1+(Assumptions!$B$13*AD97/365))</f>
        <v>2639.5177852054794</v>
      </c>
      <c r="AF97" s="26">
        <f t="shared" si="11"/>
        <v>-1.017785205479413</v>
      </c>
      <c r="AG97" s="3">
        <f>(C97*Assumptions!$B$16)+(AB97*Assumptions!$B$17)</f>
        <v>1.82725</v>
      </c>
      <c r="AH97" s="26">
        <f t="shared" si="12"/>
        <v>-2.8450352054794132</v>
      </c>
      <c r="AI97" s="26">
        <f>C97+(AB97*Assumptions!$B$15)</f>
        <v>3469.8049999999998</v>
      </c>
      <c r="AJ97" s="7">
        <f t="shared" si="13"/>
        <v>-8.1994094926931443E-4</v>
      </c>
      <c r="AK97" s="27">
        <f t="shared" si="14"/>
        <v>-3.4008914373102246E-3</v>
      </c>
      <c r="AL97" s="28" t="str">
        <f>IF(AND(AD97&gt;0,AK97  &gt; Assumptions!$B$13), "ENTER", "DONT ENTER")</f>
        <v>DONT ENTER</v>
      </c>
    </row>
    <row r="98" spans="1:38" x14ac:dyDescent="0.3">
      <c r="A98" s="25">
        <v>45843</v>
      </c>
      <c r="B98" s="3" t="s">
        <v>27</v>
      </c>
      <c r="C98" s="3" t="e">
        <f>VLOOKUP(A98, Raw_Data_Adani!A:N, 8, FALSE)</f>
        <v>#N/A</v>
      </c>
      <c r="D98" s="3" t="e">
        <f>VLOOKUP(A98, Raw_Data_Adani!O:Y, 8, FALSE)</f>
        <v>#N/A</v>
      </c>
      <c r="E98" s="25">
        <f>Assumptions!$B$30</f>
        <v>45869</v>
      </c>
      <c r="F98" s="3">
        <f t="shared" si="15"/>
        <v>26</v>
      </c>
      <c r="G98" s="3" t="e">
        <f>C98*(1+(Assumptions!$B$19*F98/365))</f>
        <v>#N/A</v>
      </c>
      <c r="H98" s="3" t="e">
        <f t="shared" si="16"/>
        <v>#N/A</v>
      </c>
      <c r="I98" s="3" t="e">
        <f>(C98*Assumptions!$B$16)+(D98*Assumptions!$B$17)</f>
        <v>#N/A</v>
      </c>
      <c r="J98" s="3" t="e">
        <f t="shared" si="17"/>
        <v>#N/A</v>
      </c>
      <c r="K98" s="3" t="e">
        <f>C98+(D98*Assumptions!$B$15)</f>
        <v>#N/A</v>
      </c>
      <c r="L98" s="7" t="e">
        <f t="shared" si="18"/>
        <v>#N/A</v>
      </c>
      <c r="M98" s="7" t="e">
        <f t="shared" si="19"/>
        <v>#N/A</v>
      </c>
      <c r="N98" s="3" t="e">
        <f>IF(AND(F98&gt;0, M98 &gt; Assumptions!$B$13), "ENTER", "DONT ENTER")</f>
        <v>#N/A</v>
      </c>
      <c r="P98" s="3" t="e">
        <f>VLOOKUP(A98, Raw_Data_Adani!AB:AP, 8, FALSE)</f>
        <v>#N/A</v>
      </c>
      <c r="Q98" s="8">
        <f>Assumptions!$B$31</f>
        <v>45897</v>
      </c>
      <c r="R98" s="3">
        <f t="shared" si="20"/>
        <v>54</v>
      </c>
      <c r="S98" s="3" t="e">
        <f>C98*(1+(Assumptions!$B$19*R98/365))</f>
        <v>#N/A</v>
      </c>
      <c r="T98" s="26" t="e">
        <f t="shared" si="21"/>
        <v>#N/A</v>
      </c>
      <c r="U98" s="3" t="e">
        <f>(C98*Assumptions!$B$16)+(P98*Assumptions!$B$17)</f>
        <v>#N/A</v>
      </c>
      <c r="V98" s="3" t="e">
        <f t="shared" si="22"/>
        <v>#N/A</v>
      </c>
      <c r="W98" s="26" t="e">
        <f>C98+(P98*Assumptions!$B$15)</f>
        <v>#N/A</v>
      </c>
      <c r="X98" s="7" t="e">
        <f t="shared" si="23"/>
        <v>#N/A</v>
      </c>
      <c r="Y98" s="7" t="e">
        <f t="shared" si="24"/>
        <v>#N/A</v>
      </c>
      <c r="Z98" s="3" t="e">
        <f>IF(AND(R98&gt;0,Y98  &gt; Assumptions!$B$13), "ENTER", "DONT ENTER")</f>
        <v>#N/A</v>
      </c>
      <c r="AB98" s="3" t="e">
        <f>VLOOKUP(A98, Raw_Data_Adani!AQ:BE, 8, FALSE)</f>
        <v>#N/A</v>
      </c>
      <c r="AC98" s="25">
        <f>Assumptions!$B$32</f>
        <v>45930</v>
      </c>
      <c r="AD98" s="3">
        <f t="shared" si="10"/>
        <v>87</v>
      </c>
      <c r="AE98" s="3" t="e">
        <f>C98*(1+(Assumptions!$B$13*AD98/365))</f>
        <v>#N/A</v>
      </c>
      <c r="AF98" s="3" t="e">
        <f t="shared" si="11"/>
        <v>#N/A</v>
      </c>
      <c r="AG98" s="3" t="e">
        <f>(C98*Assumptions!$B$16)+(AB98*Assumptions!$B$17)</f>
        <v>#N/A</v>
      </c>
      <c r="AH98" s="3" t="e">
        <f t="shared" si="12"/>
        <v>#N/A</v>
      </c>
      <c r="AI98" s="3" t="e">
        <f>C98+(AB98*Assumptions!$B$15)</f>
        <v>#N/A</v>
      </c>
      <c r="AJ98" s="7" t="e">
        <f t="shared" si="13"/>
        <v>#N/A</v>
      </c>
      <c r="AK98" s="7" t="e">
        <f t="shared" si="14"/>
        <v>#N/A</v>
      </c>
      <c r="AL98" s="3" t="e">
        <f>IF(AND(AD98&gt;0,AK98  &gt; Assumptions!$B$13), "ENTER", "DONT ENTER")</f>
        <v>#N/A</v>
      </c>
    </row>
    <row r="99" spans="1:38" x14ac:dyDescent="0.3">
      <c r="A99" s="25">
        <v>45844</v>
      </c>
      <c r="B99" s="3" t="s">
        <v>27</v>
      </c>
      <c r="C99" s="3" t="e">
        <f>VLOOKUP(A99, Raw_Data_Adani!A:N, 8, FALSE)</f>
        <v>#N/A</v>
      </c>
      <c r="D99" s="3" t="e">
        <f>VLOOKUP(A99, Raw_Data_Adani!O:Y, 8, FALSE)</f>
        <v>#N/A</v>
      </c>
      <c r="E99" s="25">
        <f>Assumptions!$B$30</f>
        <v>45869</v>
      </c>
      <c r="F99" s="3">
        <f t="shared" si="15"/>
        <v>25</v>
      </c>
      <c r="G99" s="3" t="e">
        <f>C99*(1+(Assumptions!$B$19*F99/365))</f>
        <v>#N/A</v>
      </c>
      <c r="H99" s="3" t="e">
        <f t="shared" si="16"/>
        <v>#N/A</v>
      </c>
      <c r="I99" s="3" t="e">
        <f>(C99*Assumptions!$B$16)+(D99*Assumptions!$B$17)</f>
        <v>#N/A</v>
      </c>
      <c r="J99" s="3" t="e">
        <f t="shared" si="17"/>
        <v>#N/A</v>
      </c>
      <c r="K99" s="3" t="e">
        <f>C99+(D99*Assumptions!$B$15)</f>
        <v>#N/A</v>
      </c>
      <c r="L99" s="7" t="e">
        <f t="shared" si="18"/>
        <v>#N/A</v>
      </c>
      <c r="M99" s="7" t="e">
        <f t="shared" si="19"/>
        <v>#N/A</v>
      </c>
      <c r="N99" s="3" t="e">
        <f>IF(AND(F99&gt;0, M99 &gt; Assumptions!$B$13), "ENTER", "DONT ENTER")</f>
        <v>#N/A</v>
      </c>
      <c r="P99" s="3" t="e">
        <f>VLOOKUP(A99, Raw_Data_Adani!AB:AP, 8, FALSE)</f>
        <v>#N/A</v>
      </c>
      <c r="Q99" s="8">
        <f>Assumptions!$B$31</f>
        <v>45897</v>
      </c>
      <c r="R99" s="3">
        <f t="shared" si="20"/>
        <v>53</v>
      </c>
      <c r="S99" s="3" t="e">
        <f>C99*(1+(Assumptions!$B$19*R99/365))</f>
        <v>#N/A</v>
      </c>
      <c r="T99" s="26" t="e">
        <f t="shared" si="21"/>
        <v>#N/A</v>
      </c>
      <c r="U99" s="3" t="e">
        <f>(C99*Assumptions!$B$16)+(P99*Assumptions!$B$17)</f>
        <v>#N/A</v>
      </c>
      <c r="V99" s="3" t="e">
        <f t="shared" si="22"/>
        <v>#N/A</v>
      </c>
      <c r="W99" s="26" t="e">
        <f>C99+(P99*Assumptions!$B$15)</f>
        <v>#N/A</v>
      </c>
      <c r="X99" s="7" t="e">
        <f t="shared" si="23"/>
        <v>#N/A</v>
      </c>
      <c r="Y99" s="7" t="e">
        <f t="shared" si="24"/>
        <v>#N/A</v>
      </c>
      <c r="Z99" s="3" t="e">
        <f>IF(AND(R99&gt;0,Y99  &gt; Assumptions!$B$13), "ENTER", "DONT ENTER")</f>
        <v>#N/A</v>
      </c>
      <c r="AB99" s="3" t="e">
        <f>VLOOKUP(A99, Raw_Data_Adani!AQ:BE, 8, FALSE)</f>
        <v>#N/A</v>
      </c>
      <c r="AC99" s="25">
        <f>Assumptions!$B$32</f>
        <v>45930</v>
      </c>
      <c r="AD99" s="3">
        <f t="shared" si="10"/>
        <v>86</v>
      </c>
      <c r="AE99" s="3" t="e">
        <f>C99*(1+(Assumptions!$B$13*AD99/365))</f>
        <v>#N/A</v>
      </c>
      <c r="AF99" s="3" t="e">
        <f t="shared" si="11"/>
        <v>#N/A</v>
      </c>
      <c r="AG99" s="3" t="e">
        <f>(C99*Assumptions!$B$16)+(AB99*Assumptions!$B$17)</f>
        <v>#N/A</v>
      </c>
      <c r="AH99" s="3" t="e">
        <f t="shared" si="12"/>
        <v>#N/A</v>
      </c>
      <c r="AI99" s="3" t="e">
        <f>C99+(AB99*Assumptions!$B$15)</f>
        <v>#N/A</v>
      </c>
      <c r="AJ99" s="7" t="e">
        <f t="shared" si="13"/>
        <v>#N/A</v>
      </c>
      <c r="AK99" s="7" t="e">
        <f t="shared" si="14"/>
        <v>#N/A</v>
      </c>
      <c r="AL99" s="3" t="e">
        <f>IF(AND(AD99&gt;0,AK99  &gt; Assumptions!$B$13), "ENTER", "DONT ENTER")</f>
        <v>#N/A</v>
      </c>
    </row>
    <row r="100" spans="1:38" x14ac:dyDescent="0.3">
      <c r="A100" s="25">
        <v>45845</v>
      </c>
      <c r="B100" s="3" t="s">
        <v>27</v>
      </c>
      <c r="C100" s="26">
        <f>VLOOKUP(A100, Raw_Data_Adani!A:N, 8, FALSE)</f>
        <v>2576.1</v>
      </c>
      <c r="D100" s="26">
        <f>VLOOKUP(A100, Raw_Data_Adani!O:Y, 8, FALSE)</f>
        <v>2588.9</v>
      </c>
      <c r="E100" s="25">
        <f>Assumptions!$B$30</f>
        <v>45869</v>
      </c>
      <c r="F100" s="3">
        <f t="shared" si="15"/>
        <v>24</v>
      </c>
      <c r="G100" s="3">
        <f>C100*(1+(Assumptions!$B$19*F100/365))</f>
        <v>2576.9469369863014</v>
      </c>
      <c r="H100" s="26">
        <f t="shared" si="16"/>
        <v>11.953063013698738</v>
      </c>
      <c r="I100" s="3">
        <f>(C100*Assumptions!$B$16)+(D100*Assumptions!$B$17)</f>
        <v>1.8058299999999998</v>
      </c>
      <c r="J100" s="26">
        <f t="shared" si="17"/>
        <v>10.147233013698738</v>
      </c>
      <c r="K100" s="26">
        <f>C100+(D100*Assumptions!$B$15)</f>
        <v>3430.4369999999999</v>
      </c>
      <c r="L100" s="7">
        <f t="shared" si="18"/>
        <v>2.9580001071871421E-3</v>
      </c>
      <c r="M100" s="27">
        <f t="shared" si="19"/>
        <v>4.4986251630137787E-2</v>
      </c>
      <c r="N100" s="28" t="str">
        <f>IF(AND(F100&gt;0, M100 &gt; Assumptions!$B$13), "ENTER", "DONT ENTER")</f>
        <v>DONT ENTER</v>
      </c>
      <c r="P100" s="40">
        <f>VLOOKUP(A100, Raw_Data_Adani!AB:AP, 8, FALSE)</f>
        <v>2601.8000000000002</v>
      </c>
      <c r="Q100" s="8">
        <f>Assumptions!$B$31</f>
        <v>45897</v>
      </c>
      <c r="R100" s="3">
        <f t="shared" si="20"/>
        <v>52</v>
      </c>
      <c r="S100" s="3">
        <f>C100*(1+(Assumptions!$B$19*R100/365))</f>
        <v>2577.9350301369864</v>
      </c>
      <c r="T100" s="26">
        <f t="shared" si="21"/>
        <v>23.864969863013812</v>
      </c>
      <c r="U100" s="3">
        <f>(C100*Assumptions!$B$16)+(P100*Assumptions!$B$17)</f>
        <v>1.8084099999999999</v>
      </c>
      <c r="V100" s="26">
        <f t="shared" si="22"/>
        <v>22.056559863013813</v>
      </c>
      <c r="W100" s="26">
        <f>C100+(P100*Assumptions!$B$15)</f>
        <v>3434.694</v>
      </c>
      <c r="X100" s="7">
        <f t="shared" si="23"/>
        <v>6.4216957501931219E-3</v>
      </c>
      <c r="Y100" s="27">
        <f t="shared" si="24"/>
        <v>4.507536440039403E-2</v>
      </c>
      <c r="Z100" s="28" t="str">
        <f>IF(AND(R100&gt;0,Y100  &gt; Assumptions!$B$13), "ENTER", "DONT ENTER")</f>
        <v>DONT ENTER</v>
      </c>
      <c r="AB100" s="26">
        <f>VLOOKUP(A100, Raw_Data_Adani!AQ:BE, 8, FALSE)</f>
        <v>2617.4</v>
      </c>
      <c r="AC100" s="25">
        <f>Assumptions!$B$32</f>
        <v>45930</v>
      </c>
      <c r="AD100" s="3">
        <f t="shared" si="10"/>
        <v>85</v>
      </c>
      <c r="AE100" s="3">
        <f>C100*(1+(Assumptions!$B$13*AD100/365))</f>
        <v>2614.7944335616439</v>
      </c>
      <c r="AF100" s="26">
        <f t="shared" si="11"/>
        <v>2.6055664383561634</v>
      </c>
      <c r="AG100" s="3">
        <f>(C100*Assumptions!$B$16)+(AB100*Assumptions!$B$17)</f>
        <v>1.8115299999999999</v>
      </c>
      <c r="AH100" s="26">
        <f t="shared" si="12"/>
        <v>0.79403643835616355</v>
      </c>
      <c r="AI100" s="26">
        <f>C100+(AB100*Assumptions!$B$15)</f>
        <v>3439.8420000000001</v>
      </c>
      <c r="AJ100" s="7">
        <f t="shared" si="13"/>
        <v>2.3083514834581459E-4</v>
      </c>
      <c r="AK100" s="27">
        <f t="shared" si="14"/>
        <v>9.9123328407320376E-4</v>
      </c>
      <c r="AL100" s="28" t="str">
        <f>IF(AND(AD100&gt;0,AK100  &gt; Assumptions!$B$13), "ENTER", "DONT ENTER")</f>
        <v>DONT ENTER</v>
      </c>
    </row>
    <row r="101" spans="1:38" x14ac:dyDescent="0.3">
      <c r="A101" s="25">
        <v>45846</v>
      </c>
      <c r="B101" s="3" t="s">
        <v>27</v>
      </c>
      <c r="C101" s="26">
        <f>VLOOKUP(A101, Raw_Data_Adani!A:N, 8, FALSE)</f>
        <v>2591.3000000000002</v>
      </c>
      <c r="D101" s="26">
        <f>VLOOKUP(A101, Raw_Data_Adani!O:Y, 8, FALSE)</f>
        <v>2605.1</v>
      </c>
      <c r="E101" s="25">
        <f>Assumptions!$B$30</f>
        <v>45869</v>
      </c>
      <c r="F101" s="3">
        <f t="shared" si="15"/>
        <v>23</v>
      </c>
      <c r="G101" s="3">
        <f>C101*(1+(Assumptions!$B$19*F101/365))</f>
        <v>2592.1164369863018</v>
      </c>
      <c r="H101" s="26">
        <f t="shared" si="16"/>
        <v>12.983563013698131</v>
      </c>
      <c r="I101" s="3">
        <f>(C101*Assumptions!$B$16)+(D101*Assumptions!$B$17)</f>
        <v>1.8166700000000002</v>
      </c>
      <c r="J101" s="26">
        <f t="shared" si="17"/>
        <v>11.166893013698131</v>
      </c>
      <c r="K101" s="26">
        <f>C101+(D101*Assumptions!$B$15)</f>
        <v>3450.9830000000002</v>
      </c>
      <c r="L101" s="7">
        <f t="shared" si="18"/>
        <v>3.2358585984625628E-3</v>
      </c>
      <c r="M101" s="27">
        <f t="shared" si="19"/>
        <v>5.1351669062558065E-2</v>
      </c>
      <c r="N101" s="28" t="str">
        <f>IF(AND(F101&gt;0, M101 &gt; Assumptions!$B$13), "ENTER", "DONT ENTER")</f>
        <v>DONT ENTER</v>
      </c>
      <c r="P101" s="40">
        <f>VLOOKUP(A101, Raw_Data_Adani!AB:AP, 8, FALSE)</f>
        <v>2618.8000000000002</v>
      </c>
      <c r="Q101" s="8">
        <f>Assumptions!$B$31</f>
        <v>45897</v>
      </c>
      <c r="R101" s="3">
        <f t="shared" si="20"/>
        <v>51</v>
      </c>
      <c r="S101" s="3">
        <f>C101*(1+(Assumptions!$B$19*R101/365))</f>
        <v>2593.1103602739727</v>
      </c>
      <c r="T101" s="26">
        <f t="shared" si="21"/>
        <v>25.689639726027508</v>
      </c>
      <c r="U101" s="3">
        <f>(C101*Assumptions!$B$16)+(P101*Assumptions!$B$17)</f>
        <v>1.8194100000000004</v>
      </c>
      <c r="V101" s="26">
        <f t="shared" si="22"/>
        <v>23.870229726027507</v>
      </c>
      <c r="W101" s="26">
        <f>C101+(P101*Assumptions!$B$15)</f>
        <v>3455.5040000000004</v>
      </c>
      <c r="X101" s="7">
        <f t="shared" si="23"/>
        <v>6.9078865850039544E-3</v>
      </c>
      <c r="Y101" s="27">
        <f t="shared" si="24"/>
        <v>4.9438796147577325E-2</v>
      </c>
      <c r="Z101" s="28" t="str">
        <f>IF(AND(R101&gt;0,Y101  &gt; Assumptions!$B$13), "ENTER", "DONT ENTER")</f>
        <v>DONT ENTER</v>
      </c>
      <c r="AB101" s="26">
        <f>VLOOKUP(A101, Raw_Data_Adani!AQ:BE, 8, FALSE)</f>
        <v>2635.6</v>
      </c>
      <c r="AC101" s="25">
        <f>Assumptions!$B$32</f>
        <v>45930</v>
      </c>
      <c r="AD101" s="3">
        <f t="shared" si="10"/>
        <v>84</v>
      </c>
      <c r="AE101" s="3">
        <f>C101*(1+(Assumptions!$B$13*AD101/365))</f>
        <v>2629.764831232877</v>
      </c>
      <c r="AF101" s="26">
        <f t="shared" si="11"/>
        <v>5.8351687671229229</v>
      </c>
      <c r="AG101" s="3">
        <f>(C101*Assumptions!$B$16)+(AB101*Assumptions!$B$17)</f>
        <v>1.8227700000000002</v>
      </c>
      <c r="AH101" s="26">
        <f t="shared" si="12"/>
        <v>4.0123987671229226</v>
      </c>
      <c r="AI101" s="26">
        <f>C101+(AB101*Assumptions!$B$15)</f>
        <v>3461.0480000000002</v>
      </c>
      <c r="AJ101" s="7">
        <f t="shared" si="13"/>
        <v>1.1593016817804671E-3</v>
      </c>
      <c r="AK101" s="27">
        <f t="shared" si="14"/>
        <v>5.0374418315460769E-3</v>
      </c>
      <c r="AL101" s="28" t="str">
        <f>IF(AND(AD101&gt;0,AK101  &gt; Assumptions!$B$13), "ENTER", "DONT ENTER")</f>
        <v>DONT ENTER</v>
      </c>
    </row>
    <row r="102" spans="1:38" x14ac:dyDescent="0.3">
      <c r="A102" s="25">
        <v>45847</v>
      </c>
      <c r="B102" s="3" t="s">
        <v>27</v>
      </c>
      <c r="C102" s="26">
        <f>VLOOKUP(A102, Raw_Data_Adani!A:N, 8, FALSE)</f>
        <v>2583</v>
      </c>
      <c r="D102" s="26">
        <f>VLOOKUP(A102, Raw_Data_Adani!O:Y, 8, FALSE)</f>
        <v>2591.4</v>
      </c>
      <c r="E102" s="25">
        <f>Assumptions!$B$30</f>
        <v>45869</v>
      </c>
      <c r="F102" s="3">
        <f t="shared" si="15"/>
        <v>22</v>
      </c>
      <c r="G102" s="3">
        <f>C102*(1+(Assumptions!$B$19*F102/365))</f>
        <v>2583.7784383561643</v>
      </c>
      <c r="H102" s="26">
        <f t="shared" si="16"/>
        <v>7.6215616438357756</v>
      </c>
      <c r="I102" s="3">
        <f>(C102*Assumptions!$B$16)+(D102*Assumptions!$B$17)</f>
        <v>1.8097800000000002</v>
      </c>
      <c r="J102" s="26">
        <f t="shared" si="17"/>
        <v>5.8117816438357757</v>
      </c>
      <c r="K102" s="26">
        <f>C102+(D102*Assumptions!$B$15)</f>
        <v>3438.1620000000003</v>
      </c>
      <c r="L102" s="7">
        <f t="shared" si="18"/>
        <v>1.6903745791605443E-3</v>
      </c>
      <c r="M102" s="27">
        <f t="shared" si="19"/>
        <v>2.8044850972436301E-2</v>
      </c>
      <c r="N102" s="28" t="str">
        <f>IF(AND(F102&gt;0, M102 &gt; Assumptions!$B$13), "ENTER", "DONT ENTER")</f>
        <v>DONT ENTER</v>
      </c>
      <c r="P102" s="40">
        <f>VLOOKUP(A102, Raw_Data_Adani!AB:AP, 8, FALSE)</f>
        <v>2604.6999999999998</v>
      </c>
      <c r="Q102" s="8">
        <f>Assumptions!$B$31</f>
        <v>45897</v>
      </c>
      <c r="R102" s="3">
        <f t="shared" si="20"/>
        <v>50</v>
      </c>
      <c r="S102" s="3">
        <f>C102*(1+(Assumptions!$B$19*R102/365))</f>
        <v>2584.769178082192</v>
      </c>
      <c r="T102" s="26">
        <f t="shared" si="21"/>
        <v>19.930821917807862</v>
      </c>
      <c r="U102" s="3">
        <f>(C102*Assumptions!$B$16)+(P102*Assumptions!$B$17)</f>
        <v>1.8124400000000001</v>
      </c>
      <c r="V102" s="26">
        <f t="shared" si="22"/>
        <v>18.118381917807863</v>
      </c>
      <c r="W102" s="26">
        <f>C102+(P102*Assumptions!$B$15)</f>
        <v>3442.5509999999999</v>
      </c>
      <c r="X102" s="7">
        <f t="shared" si="23"/>
        <v>5.2630685552103257E-3</v>
      </c>
      <c r="Y102" s="27">
        <f t="shared" si="24"/>
        <v>3.8420400453035373E-2</v>
      </c>
      <c r="Z102" s="28" t="str">
        <f>IF(AND(R102&gt;0,Y102  &gt; Assumptions!$B$13), "ENTER", "DONT ENTER")</f>
        <v>DONT ENTER</v>
      </c>
      <c r="AB102" s="40">
        <f>VLOOKUP(A102, Raw_Data_Adani!AQ:BE, 8, FALSE)</f>
        <v>2616.3000000000002</v>
      </c>
      <c r="AC102" s="25">
        <f>Assumptions!$B$32</f>
        <v>45930</v>
      </c>
      <c r="AD102" s="3">
        <f t="shared" si="10"/>
        <v>83</v>
      </c>
      <c r="AE102" s="3">
        <f>C102*(1+(Assumptions!$B$13*AD102/365))</f>
        <v>2620.8851794520547</v>
      </c>
      <c r="AF102" s="40">
        <f t="shared" si="11"/>
        <v>-4.58517945205449</v>
      </c>
      <c r="AG102" s="3">
        <f>(C102*Assumptions!$B$16)+(AB102*Assumptions!$B$17)</f>
        <v>1.8147600000000002</v>
      </c>
      <c r="AH102" s="40">
        <f t="shared" si="12"/>
        <v>-6.3999394520544897</v>
      </c>
      <c r="AI102" s="26">
        <f>C102+(AB102*Assumptions!$B$15)</f>
        <v>3446.3789999999999</v>
      </c>
      <c r="AJ102" s="7">
        <f t="shared" si="13"/>
        <v>-1.8570039604043809E-3</v>
      </c>
      <c r="AK102" s="27">
        <f t="shared" si="14"/>
        <v>-8.1663427174409522E-3</v>
      </c>
      <c r="AL102" s="28" t="str">
        <f>IF(AND(AD102&gt;0,AK102  &gt; Assumptions!$B$13), "ENTER", "DONT ENTER")</f>
        <v>DONT ENTER</v>
      </c>
    </row>
    <row r="103" spans="1:38" x14ac:dyDescent="0.3">
      <c r="A103" s="25">
        <v>45848</v>
      </c>
      <c r="B103" s="3" t="s">
        <v>27</v>
      </c>
      <c r="C103" s="26">
        <f>VLOOKUP(A103, Raw_Data_Adani!A:N, 8, FALSE)</f>
        <v>2581</v>
      </c>
      <c r="D103" s="26">
        <f>VLOOKUP(A103, Raw_Data_Adani!O:Y, 8, FALSE)</f>
        <v>2587.4</v>
      </c>
      <c r="E103" s="25">
        <f>Assumptions!$B$30</f>
        <v>45869</v>
      </c>
      <c r="F103" s="3">
        <f t="shared" si="15"/>
        <v>21</v>
      </c>
      <c r="G103" s="3">
        <f>C103*(1+(Assumptions!$B$19*F103/365))</f>
        <v>2581.7424794520548</v>
      </c>
      <c r="H103" s="26">
        <f t="shared" si="16"/>
        <v>5.6575205479452961</v>
      </c>
      <c r="I103" s="3">
        <f>(C103*Assumptions!$B$16)+(D103*Assumptions!$B$17)</f>
        <v>1.8079800000000001</v>
      </c>
      <c r="J103" s="26">
        <f t="shared" si="17"/>
        <v>3.849540547945296</v>
      </c>
      <c r="K103" s="26">
        <f>C103+(D103*Assumptions!$B$15)</f>
        <v>3434.8420000000001</v>
      </c>
      <c r="L103" s="7">
        <f t="shared" si="18"/>
        <v>1.1207329326779212E-3</v>
      </c>
      <c r="M103" s="27">
        <f t="shared" si="19"/>
        <v>1.9479405734640055E-2</v>
      </c>
      <c r="N103" s="28" t="str">
        <f>IF(AND(F103&gt;0, M103 &gt; Assumptions!$B$13), "ENTER", "DONT ENTER")</f>
        <v>DONT ENTER</v>
      </c>
      <c r="P103" s="40">
        <f>VLOOKUP(A103, Raw_Data_Adani!AB:AP, 8, FALSE)</f>
        <v>2601.4</v>
      </c>
      <c r="Q103" s="8">
        <f>Assumptions!$B$31</f>
        <v>45897</v>
      </c>
      <c r="R103" s="3">
        <f t="shared" si="20"/>
        <v>49</v>
      </c>
      <c r="S103" s="3">
        <f>C103*(1+(Assumptions!$B$19*R103/365))</f>
        <v>2582.7324520547941</v>
      </c>
      <c r="T103" s="26">
        <f t="shared" si="21"/>
        <v>18.667547945206024</v>
      </c>
      <c r="U103" s="3">
        <f>(C103*Assumptions!$B$16)+(P103*Assumptions!$B$17)</f>
        <v>1.8107800000000001</v>
      </c>
      <c r="V103" s="26">
        <f t="shared" si="22"/>
        <v>16.856767945206023</v>
      </c>
      <c r="W103" s="26">
        <f>C103+(P103*Assumptions!$B$15)</f>
        <v>3439.462</v>
      </c>
      <c r="X103" s="7">
        <f t="shared" si="23"/>
        <v>4.9009897318842378E-3</v>
      </c>
      <c r="Y103" s="27">
        <f t="shared" si="24"/>
        <v>3.6507372492607076E-2</v>
      </c>
      <c r="Z103" s="28" t="str">
        <f>IF(AND(R103&gt;0,Y103  &gt; Assumptions!$B$13), "ENTER", "DONT ENTER")</f>
        <v>DONT ENTER</v>
      </c>
      <c r="AB103" s="40">
        <f>VLOOKUP(A103, Raw_Data_Adani!AQ:BE, 8, FALSE)</f>
        <v>2622</v>
      </c>
      <c r="AC103" s="25">
        <f>Assumptions!$B$32</f>
        <v>45930</v>
      </c>
      <c r="AD103" s="3">
        <f t="shared" si="10"/>
        <v>82</v>
      </c>
      <c r="AE103" s="3">
        <f>C103*(1+(Assumptions!$B$13*AD103/365))</f>
        <v>2618.3997506849314</v>
      </c>
      <c r="AF103" s="40">
        <f t="shared" si="11"/>
        <v>3.600249315068595</v>
      </c>
      <c r="AG103" s="3">
        <f>(C103*Assumptions!$B$16)+(AB103*Assumptions!$B$17)</f>
        <v>1.8149</v>
      </c>
      <c r="AH103" s="40">
        <f t="shared" si="12"/>
        <v>1.7853493150685951</v>
      </c>
      <c r="AI103" s="26">
        <f>C103+(AB103*Assumptions!$B$15)</f>
        <v>3446.26</v>
      </c>
      <c r="AJ103" s="7">
        <f t="shared" si="13"/>
        <v>5.180541558293904E-4</v>
      </c>
      <c r="AK103" s="27">
        <f t="shared" si="14"/>
        <v>2.3059727668015549E-3</v>
      </c>
      <c r="AL103" s="28" t="str">
        <f>IF(AND(AD103&gt;0,AK103  &gt; Assumptions!$B$13), "ENTER", "DONT ENTER")</f>
        <v>DONT ENTER</v>
      </c>
    </row>
    <row r="104" spans="1:38" x14ac:dyDescent="0.3">
      <c r="A104" s="25">
        <v>45849</v>
      </c>
      <c r="B104" s="3" t="s">
        <v>27</v>
      </c>
      <c r="C104" s="26">
        <f>VLOOKUP(A104, Raw_Data_Adani!A:N, 8, FALSE)</f>
        <v>2558.6999999999998</v>
      </c>
      <c r="D104" s="26">
        <f>VLOOKUP(A104, Raw_Data_Adani!O:Y, 8, FALSE)</f>
        <v>2569</v>
      </c>
      <c r="E104" s="25">
        <f>Assumptions!$B$30</f>
        <v>45869</v>
      </c>
      <c r="F104" s="3">
        <f t="shared" si="15"/>
        <v>20</v>
      </c>
      <c r="G104" s="3">
        <f>C104*(1+(Assumptions!$B$19*F104/365))</f>
        <v>2559.4010136986299</v>
      </c>
      <c r="H104" s="26">
        <f t="shared" si="16"/>
        <v>9.5989863013701324</v>
      </c>
      <c r="I104" s="3">
        <f>(C104*Assumptions!$B$16)+(D104*Assumptions!$B$17)</f>
        <v>1.79315</v>
      </c>
      <c r="J104" s="26">
        <f t="shared" si="17"/>
        <v>7.8058363013701326</v>
      </c>
      <c r="K104" s="26">
        <f>C104+(D104*Assumptions!$B$15)</f>
        <v>3406.47</v>
      </c>
      <c r="L104" s="7">
        <f t="shared" si="18"/>
        <v>2.2914736666901905E-3</v>
      </c>
      <c r="M104" s="27">
        <f t="shared" si="19"/>
        <v>4.1819394417095979E-2</v>
      </c>
      <c r="N104" s="28" t="str">
        <f>IF(AND(F104&gt;0, M104 &gt; Assumptions!$B$13), "ENTER", "DONT ENTER")</f>
        <v>DONT ENTER</v>
      </c>
      <c r="P104" s="40">
        <f>VLOOKUP(A104, Raw_Data_Adani!AB:AP, 8, FALSE)</f>
        <v>2580.1999999999998</v>
      </c>
      <c r="Q104" s="8">
        <f>Assumptions!$B$31</f>
        <v>45897</v>
      </c>
      <c r="R104" s="3">
        <f t="shared" si="20"/>
        <v>48</v>
      </c>
      <c r="S104" s="3">
        <f>C104*(1+(Assumptions!$B$19*R104/365))</f>
        <v>2560.3824328767123</v>
      </c>
      <c r="T104" s="26">
        <f t="shared" si="21"/>
        <v>19.817567123287517</v>
      </c>
      <c r="U104" s="3">
        <f>(C104*Assumptions!$B$16)+(P104*Assumptions!$B$17)</f>
        <v>1.7953899999999998</v>
      </c>
      <c r="V104" s="26">
        <f t="shared" si="22"/>
        <v>18.022177123287516</v>
      </c>
      <c r="W104" s="26">
        <f>C104+(P104*Assumptions!$B$15)</f>
        <v>3410.1659999999997</v>
      </c>
      <c r="X104" s="7">
        <f t="shared" si="23"/>
        <v>5.2848386627769783E-3</v>
      </c>
      <c r="Y104" s="27">
        <f t="shared" si="24"/>
        <v>4.0186793998199938E-2</v>
      </c>
      <c r="Z104" s="28" t="str">
        <f>IF(AND(R104&gt;0,Y104  &gt; Assumptions!$B$13), "ENTER", "DONT ENTER")</f>
        <v>DONT ENTER</v>
      </c>
      <c r="AB104" s="26">
        <f>VLOOKUP(A104, Raw_Data_Adani!AQ:BE, 8, FALSE)</f>
        <v>2601</v>
      </c>
      <c r="AC104" s="25">
        <f>Assumptions!$B$32</f>
        <v>45930</v>
      </c>
      <c r="AD104" s="3">
        <f t="shared" si="10"/>
        <v>81</v>
      </c>
      <c r="AE104" s="3">
        <f>C104*(1+(Assumptions!$B$13*AD104/365))</f>
        <v>2595.3244606849316</v>
      </c>
      <c r="AF104" s="26">
        <f t="shared" si="11"/>
        <v>5.6755393150683631</v>
      </c>
      <c r="AG104" s="3">
        <f>(C104*Assumptions!$B$16)+(AB104*Assumptions!$B$17)</f>
        <v>1.79955</v>
      </c>
      <c r="AH104" s="26">
        <f t="shared" si="12"/>
        <v>3.8759893150683631</v>
      </c>
      <c r="AI104" s="26">
        <f>C104+(AB104*Assumptions!$B$15)</f>
        <v>3417.0299999999997</v>
      </c>
      <c r="AJ104" s="7">
        <f t="shared" si="13"/>
        <v>1.1343152723471445E-3</v>
      </c>
      <c r="AK104" s="27">
        <f t="shared" si="14"/>
        <v>5.1114206716877499E-3</v>
      </c>
      <c r="AL104" s="28" t="str">
        <f>IF(AND(AD104&gt;0,AK104  &gt; Assumptions!$B$13), "ENTER", "DONT ENTER")</f>
        <v>DONT ENTER</v>
      </c>
    </row>
    <row r="105" spans="1:38" x14ac:dyDescent="0.3">
      <c r="A105" s="25">
        <v>45850</v>
      </c>
      <c r="B105" s="3" t="s">
        <v>27</v>
      </c>
      <c r="C105" s="3" t="e">
        <f>VLOOKUP(A105, Raw_Data_Adani!A:N, 8, FALSE)</f>
        <v>#N/A</v>
      </c>
      <c r="D105" s="3" t="e">
        <f>VLOOKUP(A105, Raw_Data_Adani!O:Y, 8, FALSE)</f>
        <v>#N/A</v>
      </c>
      <c r="E105" s="25">
        <f>Assumptions!$B$30</f>
        <v>45869</v>
      </c>
      <c r="F105" s="3">
        <f t="shared" si="15"/>
        <v>19</v>
      </c>
      <c r="G105" s="3" t="e">
        <f>C105*(1+(Assumptions!$B$19*F105/365))</f>
        <v>#N/A</v>
      </c>
      <c r="H105" s="3" t="e">
        <f t="shared" si="16"/>
        <v>#N/A</v>
      </c>
      <c r="I105" s="3" t="e">
        <f>(C105*Assumptions!$B$16)+(D105*Assumptions!$B$17)</f>
        <v>#N/A</v>
      </c>
      <c r="J105" s="3" t="e">
        <f t="shared" si="17"/>
        <v>#N/A</v>
      </c>
      <c r="K105" s="3" t="e">
        <f>C105+(D105*Assumptions!$B$15)</f>
        <v>#N/A</v>
      </c>
      <c r="L105" s="7" t="e">
        <f t="shared" si="18"/>
        <v>#N/A</v>
      </c>
      <c r="M105" s="7" t="e">
        <f t="shared" si="19"/>
        <v>#N/A</v>
      </c>
      <c r="N105" s="3" t="e">
        <f>IF(AND(F105&gt;0, M105 &gt; Assumptions!$B$13), "ENTER", "DONT ENTER")</f>
        <v>#N/A</v>
      </c>
      <c r="P105" s="3" t="e">
        <f>VLOOKUP(A105, Raw_Data_Adani!AB:AP, 8, FALSE)</f>
        <v>#N/A</v>
      </c>
      <c r="Q105" s="8">
        <f>Assumptions!$B$31</f>
        <v>45897</v>
      </c>
      <c r="R105" s="3">
        <f t="shared" si="20"/>
        <v>47</v>
      </c>
      <c r="S105" s="3" t="e">
        <f>C105*(1+(Assumptions!$B$19*R105/365))</f>
        <v>#N/A</v>
      </c>
      <c r="T105" s="26" t="e">
        <f t="shared" si="21"/>
        <v>#N/A</v>
      </c>
      <c r="U105" s="3" t="e">
        <f>(C105*Assumptions!$B$16)+(P105*Assumptions!$B$17)</f>
        <v>#N/A</v>
      </c>
      <c r="V105" s="3" t="e">
        <f t="shared" si="22"/>
        <v>#N/A</v>
      </c>
      <c r="W105" s="26" t="e">
        <f>C105+(P105*Assumptions!$B$15)</f>
        <v>#N/A</v>
      </c>
      <c r="X105" s="7" t="e">
        <f t="shared" si="23"/>
        <v>#N/A</v>
      </c>
      <c r="Y105" s="7" t="e">
        <f t="shared" si="24"/>
        <v>#N/A</v>
      </c>
      <c r="Z105" s="3" t="e">
        <f>IF(AND(R105&gt;0,Y105  &gt; Assumptions!$B$13), "ENTER", "DONT ENTER")</f>
        <v>#N/A</v>
      </c>
      <c r="AB105" s="3" t="e">
        <f>VLOOKUP(A105, Raw_Data_Adani!AQ:BE, 8, FALSE)</f>
        <v>#N/A</v>
      </c>
      <c r="AC105" s="25">
        <f>Assumptions!$B$32</f>
        <v>45930</v>
      </c>
      <c r="AD105" s="3">
        <f t="shared" si="10"/>
        <v>80</v>
      </c>
      <c r="AE105" s="3" t="e">
        <f>C105*(1+(Assumptions!$B$13*AD105/365))</f>
        <v>#N/A</v>
      </c>
      <c r="AF105" s="3" t="e">
        <f t="shared" si="11"/>
        <v>#N/A</v>
      </c>
      <c r="AG105" s="3" t="e">
        <f>(C105*Assumptions!$B$16)+(AB105*Assumptions!$B$17)</f>
        <v>#N/A</v>
      </c>
      <c r="AH105" s="3" t="e">
        <f t="shared" si="12"/>
        <v>#N/A</v>
      </c>
      <c r="AI105" s="3" t="e">
        <f>C105+(AB105*Assumptions!$B$15)</f>
        <v>#N/A</v>
      </c>
      <c r="AJ105" s="7" t="e">
        <f t="shared" si="13"/>
        <v>#N/A</v>
      </c>
      <c r="AK105" s="7" t="e">
        <f t="shared" si="14"/>
        <v>#N/A</v>
      </c>
      <c r="AL105" s="3" t="e">
        <f>IF(AND(AD105&gt;0,AK105  &gt; Assumptions!$B$13), "ENTER", "DONT ENTER")</f>
        <v>#N/A</v>
      </c>
    </row>
    <row r="106" spans="1:38" x14ac:dyDescent="0.3">
      <c r="A106" s="25">
        <v>45851</v>
      </c>
      <c r="B106" s="3" t="s">
        <v>27</v>
      </c>
      <c r="C106" s="3" t="e">
        <f>VLOOKUP(A106, Raw_Data_Adani!A:N, 8, FALSE)</f>
        <v>#N/A</v>
      </c>
      <c r="D106" s="3" t="e">
        <f>VLOOKUP(A106, Raw_Data_Adani!O:Y, 8, FALSE)</f>
        <v>#N/A</v>
      </c>
      <c r="E106" s="25">
        <f>Assumptions!$B$30</f>
        <v>45869</v>
      </c>
      <c r="F106" s="3">
        <f t="shared" si="15"/>
        <v>18</v>
      </c>
      <c r="G106" s="3" t="e">
        <f>C106*(1+(Assumptions!$B$19*F106/365))</f>
        <v>#N/A</v>
      </c>
      <c r="H106" s="3" t="e">
        <f t="shared" si="16"/>
        <v>#N/A</v>
      </c>
      <c r="I106" s="3" t="e">
        <f>(C106*Assumptions!$B$16)+(D106*Assumptions!$B$17)</f>
        <v>#N/A</v>
      </c>
      <c r="J106" s="3" t="e">
        <f t="shared" si="17"/>
        <v>#N/A</v>
      </c>
      <c r="K106" s="3" t="e">
        <f>C106+(D106*Assumptions!$B$15)</f>
        <v>#N/A</v>
      </c>
      <c r="L106" s="7" t="e">
        <f t="shared" si="18"/>
        <v>#N/A</v>
      </c>
      <c r="M106" s="7" t="e">
        <f t="shared" si="19"/>
        <v>#N/A</v>
      </c>
      <c r="N106" s="3" t="e">
        <f>IF(AND(F106&gt;0, M106 &gt; Assumptions!$B$13), "ENTER", "DONT ENTER")</f>
        <v>#N/A</v>
      </c>
      <c r="P106" s="3" t="e">
        <f>VLOOKUP(A106, Raw_Data_Adani!AB:AP, 8, FALSE)</f>
        <v>#N/A</v>
      </c>
      <c r="Q106" s="8">
        <f>Assumptions!$B$31</f>
        <v>45897</v>
      </c>
      <c r="R106" s="3">
        <f t="shared" si="20"/>
        <v>46</v>
      </c>
      <c r="S106" s="3" t="e">
        <f>C106*(1+(Assumptions!$B$19*R106/365))</f>
        <v>#N/A</v>
      </c>
      <c r="T106" s="26" t="e">
        <f t="shared" si="21"/>
        <v>#N/A</v>
      </c>
      <c r="U106" s="3" t="e">
        <f>(C106*Assumptions!$B$16)+(P106*Assumptions!$B$17)</f>
        <v>#N/A</v>
      </c>
      <c r="V106" s="3" t="e">
        <f t="shared" si="22"/>
        <v>#N/A</v>
      </c>
      <c r="W106" s="26" t="e">
        <f>C106+(P106*Assumptions!$B$15)</f>
        <v>#N/A</v>
      </c>
      <c r="X106" s="7" t="e">
        <f t="shared" si="23"/>
        <v>#N/A</v>
      </c>
      <c r="Y106" s="7" t="e">
        <f t="shared" si="24"/>
        <v>#N/A</v>
      </c>
      <c r="Z106" s="3" t="e">
        <f>IF(AND(R106&gt;0,Y106  &gt; Assumptions!$B$13), "ENTER", "DONT ENTER")</f>
        <v>#N/A</v>
      </c>
      <c r="AB106" s="3" t="e">
        <f>VLOOKUP(A106, Raw_Data_Adani!AQ:BE, 8, FALSE)</f>
        <v>#N/A</v>
      </c>
      <c r="AC106" s="25">
        <f>Assumptions!$B$32</f>
        <v>45930</v>
      </c>
      <c r="AD106" s="3">
        <f t="shared" si="10"/>
        <v>79</v>
      </c>
      <c r="AE106" s="3" t="e">
        <f>C106*(1+(Assumptions!$B$13*AD106/365))</f>
        <v>#N/A</v>
      </c>
      <c r="AF106" s="3" t="e">
        <f t="shared" si="11"/>
        <v>#N/A</v>
      </c>
      <c r="AG106" s="3" t="e">
        <f>(C106*Assumptions!$B$16)+(AB106*Assumptions!$B$17)</f>
        <v>#N/A</v>
      </c>
      <c r="AH106" s="3" t="e">
        <f t="shared" si="12"/>
        <v>#N/A</v>
      </c>
      <c r="AI106" s="3" t="e">
        <f>C106+(AB106*Assumptions!$B$15)</f>
        <v>#N/A</v>
      </c>
      <c r="AJ106" s="7" t="e">
        <f t="shared" si="13"/>
        <v>#N/A</v>
      </c>
      <c r="AK106" s="7" t="e">
        <f t="shared" si="14"/>
        <v>#N/A</v>
      </c>
      <c r="AL106" s="3" t="e">
        <f>IF(AND(AD106&gt;0,AK106  &gt; Assumptions!$B$13), "ENTER", "DONT ENTER")</f>
        <v>#N/A</v>
      </c>
    </row>
    <row r="107" spans="1:38" x14ac:dyDescent="0.3">
      <c r="A107" s="25">
        <v>45852</v>
      </c>
      <c r="B107" s="3" t="s">
        <v>27</v>
      </c>
      <c r="C107" s="26">
        <f>VLOOKUP(A107, Raw_Data_Adani!A:N, 8, FALSE)</f>
        <v>2581.3000000000002</v>
      </c>
      <c r="D107" s="26">
        <f>VLOOKUP(A107, Raw_Data_Adani!O:Y, 8, FALSE)</f>
        <v>2591.3000000000002</v>
      </c>
      <c r="E107" s="25">
        <f>Assumptions!$B$30</f>
        <v>45869</v>
      </c>
      <c r="F107" s="3">
        <f t="shared" si="15"/>
        <v>17</v>
      </c>
      <c r="G107" s="3">
        <f>C107*(1+(Assumptions!$B$19*F107/365))</f>
        <v>2581.9011246575342</v>
      </c>
      <c r="H107" s="26">
        <f t="shared" si="16"/>
        <v>9.398875342465999</v>
      </c>
      <c r="I107" s="3">
        <f>(C107*Assumptions!$B$16)+(D107*Assumptions!$B$17)</f>
        <v>1.80891</v>
      </c>
      <c r="J107" s="26">
        <f t="shared" si="17"/>
        <v>7.589965342465999</v>
      </c>
      <c r="K107" s="26">
        <f>C107+(D107*Assumptions!$B$15)</f>
        <v>3436.4290000000001</v>
      </c>
      <c r="L107" s="7">
        <f t="shared" si="18"/>
        <v>2.208678061576712E-3</v>
      </c>
      <c r="M107" s="27">
        <f t="shared" si="19"/>
        <v>4.7421617204441165E-2</v>
      </c>
      <c r="N107" s="28" t="str">
        <f>IF(AND(F107&gt;0, M107 &gt; Assumptions!$B$13), "ENTER", "DONT ENTER")</f>
        <v>DONT ENTER</v>
      </c>
      <c r="P107" s="40">
        <f>VLOOKUP(A107, Raw_Data_Adani!AB:AP, 8, FALSE)</f>
        <v>2605.3000000000002</v>
      </c>
      <c r="Q107" s="8">
        <f>Assumptions!$B$31</f>
        <v>45897</v>
      </c>
      <c r="R107" s="3">
        <f t="shared" si="20"/>
        <v>45</v>
      </c>
      <c r="S107" s="3">
        <f>C107*(1+(Assumptions!$B$19*R107/365))</f>
        <v>2582.8912123287673</v>
      </c>
      <c r="T107" s="26">
        <f t="shared" si="21"/>
        <v>22.408787671232858</v>
      </c>
      <c r="U107" s="3">
        <f>(C107*Assumptions!$B$16)+(P107*Assumptions!$B$17)</f>
        <v>1.8117100000000002</v>
      </c>
      <c r="V107" s="26">
        <f t="shared" si="22"/>
        <v>20.597077671232856</v>
      </c>
      <c r="W107" s="26">
        <f>C107+(P107*Assumptions!$B$15)</f>
        <v>3441.0490000000004</v>
      </c>
      <c r="X107" s="7">
        <f t="shared" si="23"/>
        <v>5.9856972891792169E-3</v>
      </c>
      <c r="Y107" s="27">
        <f t="shared" si="24"/>
        <v>4.8550655790009202E-2</v>
      </c>
      <c r="Z107" s="28" t="str">
        <f>IF(AND(R107&gt;0,Y107  &gt; Assumptions!$B$13), "ENTER", "DONT ENTER")</f>
        <v>DONT ENTER</v>
      </c>
      <c r="AB107" s="40">
        <f>VLOOKUP(A107, Raw_Data_Adani!AQ:BE, 8, FALSE)</f>
        <v>2626</v>
      </c>
      <c r="AC107" s="25">
        <f>Assumptions!$B$32</f>
        <v>45930</v>
      </c>
      <c r="AD107" s="3">
        <f t="shared" si="10"/>
        <v>78</v>
      </c>
      <c r="AE107" s="3">
        <f>C107*(1+(Assumptions!$B$13*AD107/365))</f>
        <v>2616.8795076712327</v>
      </c>
      <c r="AF107" s="40">
        <f t="shared" si="11"/>
        <v>9.120492328767341</v>
      </c>
      <c r="AG107" s="3">
        <f>(C107*Assumptions!$B$16)+(AB107*Assumptions!$B$17)</f>
        <v>1.8158500000000002</v>
      </c>
      <c r="AH107" s="40">
        <f t="shared" si="12"/>
        <v>7.3046423287673408</v>
      </c>
      <c r="AI107" s="26">
        <f>C107+(AB107*Assumptions!$B$15)</f>
        <v>3447.88</v>
      </c>
      <c r="AJ107" s="7">
        <f t="shared" si="13"/>
        <v>2.1185894894159138E-3</v>
      </c>
      <c r="AK107" s="27">
        <f t="shared" si="14"/>
        <v>9.913912354318058E-3</v>
      </c>
      <c r="AL107" s="28" t="str">
        <f>IF(AND(AD107&gt;0,AK107  &gt; Assumptions!$B$13), "ENTER", "DONT ENTER")</f>
        <v>DONT ENTER</v>
      </c>
    </row>
    <row r="108" spans="1:38" x14ac:dyDescent="0.3">
      <c r="A108" s="25">
        <v>45853</v>
      </c>
      <c r="B108" s="3" t="s">
        <v>27</v>
      </c>
      <c r="C108" s="26">
        <f>VLOOKUP(A108, Raw_Data_Adani!A:N, 8, FALSE)</f>
        <v>2598.1999999999998</v>
      </c>
      <c r="D108" s="26">
        <f>VLOOKUP(A108, Raw_Data_Adani!O:Y, 8, FALSE)</f>
        <v>2605.5</v>
      </c>
      <c r="E108" s="25">
        <f>Assumptions!$B$30</f>
        <v>45869</v>
      </c>
      <c r="F108" s="3">
        <f t="shared" si="15"/>
        <v>16</v>
      </c>
      <c r="G108" s="3">
        <f>C108*(1+(Assumptions!$B$19*F108/365))</f>
        <v>2598.7694684931507</v>
      </c>
      <c r="H108" s="26">
        <f t="shared" si="16"/>
        <v>6.7305315068492746</v>
      </c>
      <c r="I108" s="3">
        <f>(C108*Assumptions!$B$16)+(D108*Assumptions!$B$17)</f>
        <v>1.8201999999999998</v>
      </c>
      <c r="J108" s="26">
        <f t="shared" si="17"/>
        <v>4.9103315068492748</v>
      </c>
      <c r="K108" s="26">
        <f>C108+(D108*Assumptions!$B$15)</f>
        <v>3458.0149999999999</v>
      </c>
      <c r="L108" s="7">
        <f t="shared" si="18"/>
        <v>1.4199856006550796E-3</v>
      </c>
      <c r="M108" s="27">
        <f t="shared" si="19"/>
        <v>3.2393421514944003E-2</v>
      </c>
      <c r="N108" s="28" t="str">
        <f>IF(AND(F108&gt;0, M108 &gt; Assumptions!$B$13), "ENTER", "DONT ENTER")</f>
        <v>DONT ENTER</v>
      </c>
      <c r="P108" s="40">
        <f>VLOOKUP(A108, Raw_Data_Adani!AB:AP, 8, FALSE)</f>
        <v>2618.5</v>
      </c>
      <c r="Q108" s="8">
        <f>Assumptions!$B$31</f>
        <v>45897</v>
      </c>
      <c r="R108" s="3">
        <f t="shared" si="20"/>
        <v>44</v>
      </c>
      <c r="S108" s="3">
        <f>C108*(1+(Assumptions!$B$19*R108/365))</f>
        <v>2599.7660383561638</v>
      </c>
      <c r="T108" s="26">
        <f t="shared" si="21"/>
        <v>18.73396164383621</v>
      </c>
      <c r="U108" s="3">
        <f>(C108*Assumptions!$B$16)+(P108*Assumptions!$B$17)</f>
        <v>1.8228</v>
      </c>
      <c r="V108" s="26">
        <f t="shared" si="22"/>
        <v>16.911161643836209</v>
      </c>
      <c r="W108" s="26">
        <f>C108+(P108*Assumptions!$B$15)</f>
        <v>3462.3049999999998</v>
      </c>
      <c r="X108" s="7">
        <f t="shared" si="23"/>
        <v>4.8843650815962808E-3</v>
      </c>
      <c r="Y108" s="27">
        <f t="shared" si="24"/>
        <v>4.0518028517787325E-2</v>
      </c>
      <c r="Z108" s="28" t="str">
        <f>IF(AND(R108&gt;0,Y108  &gt; Assumptions!$B$13), "ENTER", "DONT ENTER")</f>
        <v>DONT ENTER</v>
      </c>
      <c r="AB108" s="40">
        <f>VLOOKUP(A108, Raw_Data_Adani!AQ:BE, 8, FALSE)</f>
        <v>2630.8</v>
      </c>
      <c r="AC108" s="25">
        <f>Assumptions!$B$32</f>
        <v>45930</v>
      </c>
      <c r="AD108" s="3">
        <f t="shared" si="10"/>
        <v>77</v>
      </c>
      <c r="AE108" s="3">
        <f>C108*(1+(Assumptions!$B$13*AD108/365))</f>
        <v>2633.5533158904109</v>
      </c>
      <c r="AF108" s="40">
        <f t="shared" si="11"/>
        <v>-2.753315890410704</v>
      </c>
      <c r="AG108" s="3">
        <f>(C108*Assumptions!$B$16)+(AB108*Assumptions!$B$17)</f>
        <v>1.8252600000000001</v>
      </c>
      <c r="AH108" s="40">
        <f t="shared" si="12"/>
        <v>-4.5785758904107041</v>
      </c>
      <c r="AI108" s="26">
        <f>C108+(AB108*Assumptions!$B$15)</f>
        <v>3466.364</v>
      </c>
      <c r="AJ108" s="7">
        <f t="shared" si="13"/>
        <v>-1.3208583664066163E-3</v>
      </c>
      <c r="AK108" s="27">
        <f t="shared" si="14"/>
        <v>-6.261211736862532E-3</v>
      </c>
      <c r="AL108" s="28" t="str">
        <f>IF(AND(AD108&gt;0,AK108  &gt; Assumptions!$B$13), "ENTER", "DONT ENTER")</f>
        <v>DONT ENTER</v>
      </c>
    </row>
    <row r="109" spans="1:38" x14ac:dyDescent="0.3">
      <c r="A109" s="25">
        <v>45854</v>
      </c>
      <c r="B109" s="3" t="s">
        <v>27</v>
      </c>
      <c r="C109" s="26">
        <f>VLOOKUP(A109, Raw_Data_Adani!A:N, 8, FALSE)</f>
        <v>2608.5</v>
      </c>
      <c r="D109" s="26">
        <f>VLOOKUP(A109, Raw_Data_Adani!O:Y, 8, FALSE)</f>
        <v>2617.5</v>
      </c>
      <c r="E109" s="25">
        <f>Assumptions!$B$30</f>
        <v>45869</v>
      </c>
      <c r="F109" s="3">
        <f t="shared" si="15"/>
        <v>15</v>
      </c>
      <c r="G109" s="3">
        <f>C109*(1+(Assumptions!$B$19*F109/365))</f>
        <v>2609.0359931506846</v>
      </c>
      <c r="H109" s="26">
        <f t="shared" si="16"/>
        <v>8.4640068493154104</v>
      </c>
      <c r="I109" s="3">
        <f>(C109*Assumptions!$B$16)+(D109*Assumptions!$B$17)</f>
        <v>1.8277500000000002</v>
      </c>
      <c r="J109" s="26">
        <f t="shared" si="17"/>
        <v>6.6362568493154104</v>
      </c>
      <c r="K109" s="26">
        <f>C109+(D109*Assumptions!$B$15)</f>
        <v>3472.2750000000001</v>
      </c>
      <c r="L109" s="7">
        <f t="shared" si="18"/>
        <v>1.9112129221664212E-3</v>
      </c>
      <c r="M109" s="27">
        <f t="shared" si="19"/>
        <v>4.6506181106049579E-2</v>
      </c>
      <c r="N109" s="28" t="str">
        <f>IF(AND(F109&gt;0, M109 &gt; Assumptions!$B$13), "ENTER", "DONT ENTER")</f>
        <v>DONT ENTER</v>
      </c>
      <c r="P109" s="40">
        <f>VLOOKUP(A109, Raw_Data_Adani!AB:AP, 8, FALSE)</f>
        <v>2630.9</v>
      </c>
      <c r="Q109" s="8">
        <f>Assumptions!$B$31</f>
        <v>45897</v>
      </c>
      <c r="R109" s="3">
        <f t="shared" si="20"/>
        <v>43</v>
      </c>
      <c r="S109" s="3">
        <f>C109*(1+(Assumptions!$B$19*R109/365))</f>
        <v>2610.0365136986302</v>
      </c>
      <c r="T109" s="26">
        <f t="shared" si="21"/>
        <v>20.863486301369903</v>
      </c>
      <c r="U109" s="3">
        <f>(C109*Assumptions!$B$16)+(P109*Assumptions!$B$17)</f>
        <v>1.8304300000000002</v>
      </c>
      <c r="V109" s="26">
        <f t="shared" si="22"/>
        <v>19.033056301369903</v>
      </c>
      <c r="W109" s="26">
        <f>C109+(P109*Assumptions!$B$15)</f>
        <v>3476.6970000000001</v>
      </c>
      <c r="X109" s="7">
        <f t="shared" si="23"/>
        <v>5.4744650745721882E-3</v>
      </c>
      <c r="Y109" s="27">
        <f t="shared" si="24"/>
        <v>4.6469296563229047E-2</v>
      </c>
      <c r="Z109" s="28" t="str">
        <f>IF(AND(R109&gt;0,Y109  &gt; Assumptions!$B$13), "ENTER", "DONT ENTER")</f>
        <v>DONT ENTER</v>
      </c>
      <c r="AB109" s="26">
        <f>VLOOKUP(A109, Raw_Data_Adani!AQ:BE, 8, FALSE)</f>
        <v>2646.7</v>
      </c>
      <c r="AC109" s="25">
        <f>Assumptions!$B$32</f>
        <v>45930</v>
      </c>
      <c r="AD109" s="3">
        <f t="shared" si="10"/>
        <v>76</v>
      </c>
      <c r="AE109" s="3">
        <f>C109*(1+(Assumptions!$B$13*AD109/365))</f>
        <v>2643.5325123287676</v>
      </c>
      <c r="AF109" s="26">
        <f t="shared" si="11"/>
        <v>3.1674876712322657</v>
      </c>
      <c r="AG109" s="3">
        <f>(C109*Assumptions!$B$16)+(AB109*Assumptions!$B$17)</f>
        <v>1.8335900000000001</v>
      </c>
      <c r="AH109" s="26">
        <f t="shared" si="12"/>
        <v>1.3338976712322657</v>
      </c>
      <c r="AI109" s="26">
        <f>C109+(AB109*Assumptions!$B$15)</f>
        <v>3481.9110000000001</v>
      </c>
      <c r="AJ109" s="7">
        <f t="shared" si="13"/>
        <v>3.8309355731156413E-4</v>
      </c>
      <c r="AK109" s="27">
        <f t="shared" si="14"/>
        <v>1.8398572160358013E-3</v>
      </c>
      <c r="AL109" s="28" t="str">
        <f>IF(AND(AD109&gt;0,AK109  &gt; Assumptions!$B$13), "ENTER", "DONT ENTER")</f>
        <v>DONT ENTER</v>
      </c>
    </row>
    <row r="110" spans="1:38" x14ac:dyDescent="0.3">
      <c r="A110" s="25">
        <v>45855</v>
      </c>
      <c r="B110" s="3" t="s">
        <v>27</v>
      </c>
      <c r="C110" s="26">
        <f>VLOOKUP(A110, Raw_Data_Adani!A:N, 8, FALSE)</f>
        <v>2616.6</v>
      </c>
      <c r="D110" s="26">
        <f>VLOOKUP(A110, Raw_Data_Adani!O:Y, 8, FALSE)</f>
        <v>2626.4</v>
      </c>
      <c r="E110" s="25">
        <f>Assumptions!$B$30</f>
        <v>45869</v>
      </c>
      <c r="F110" s="3">
        <f t="shared" si="15"/>
        <v>14</v>
      </c>
      <c r="G110" s="3">
        <f>C110*(1+(Assumptions!$B$19*F110/365))</f>
        <v>2617.1018136986299</v>
      </c>
      <c r="H110" s="26">
        <f t="shared" si="16"/>
        <v>9.2981863013701513</v>
      </c>
      <c r="I110" s="3">
        <f>(C110*Assumptions!$B$16)+(D110*Assumptions!$B$17)</f>
        <v>1.83358</v>
      </c>
      <c r="J110" s="26">
        <f t="shared" si="17"/>
        <v>7.4646063013701518</v>
      </c>
      <c r="K110" s="26">
        <f>C110+(D110*Assumptions!$B$15)</f>
        <v>3483.3119999999999</v>
      </c>
      <c r="L110" s="7">
        <f t="shared" si="18"/>
        <v>2.1429623017892602E-3</v>
      </c>
      <c r="M110" s="27">
        <f t="shared" si="19"/>
        <v>5.5870088582362858E-2</v>
      </c>
      <c r="N110" s="28" t="str">
        <f>IF(AND(F110&gt;0, M110 &gt; Assumptions!$B$13), "ENTER", "DONT ENTER")</f>
        <v>DONT ENTER</v>
      </c>
      <c r="P110" s="26">
        <f>VLOOKUP(A110, Raw_Data_Adani!AB:AP, 8, FALSE)</f>
        <v>2639.9</v>
      </c>
      <c r="Q110" s="8">
        <f>Assumptions!$B$31</f>
        <v>45897</v>
      </c>
      <c r="R110" s="3">
        <f t="shared" si="20"/>
        <v>42</v>
      </c>
      <c r="S110" s="3">
        <f>C110*(1+(Assumptions!$B$19*R110/365))</f>
        <v>2618.1054410958905</v>
      </c>
      <c r="T110" s="26">
        <f t="shared" si="21"/>
        <v>21.794558904109635</v>
      </c>
      <c r="U110" s="3">
        <f>(C110*Assumptions!$B$16)+(P110*Assumptions!$B$17)</f>
        <v>1.8362799999999999</v>
      </c>
      <c r="V110" s="26">
        <f t="shared" si="22"/>
        <v>19.958278904109637</v>
      </c>
      <c r="W110" s="26">
        <f>C110+(P110*Assumptions!$B$15)</f>
        <v>3487.7669999999998</v>
      </c>
      <c r="X110" s="7">
        <f t="shared" si="23"/>
        <v>5.722365887431597E-3</v>
      </c>
      <c r="Y110" s="27">
        <f t="shared" si="24"/>
        <v>4.9730084497917444E-2</v>
      </c>
      <c r="Z110" s="28" t="str">
        <f>IF(AND(R110&gt;0,Y110  &gt; Assumptions!$B$13), "ENTER", "DONT ENTER")</f>
        <v>DONT ENTER</v>
      </c>
      <c r="AB110" s="40">
        <f>VLOOKUP(A110, Raw_Data_Adani!AQ:BE, 8, FALSE)</f>
        <v>2656.9</v>
      </c>
      <c r="AC110" s="25">
        <f>Assumptions!$B$32</f>
        <v>45930</v>
      </c>
      <c r="AD110" s="3">
        <f t="shared" si="10"/>
        <v>75</v>
      </c>
      <c r="AE110" s="3">
        <f>C110*(1+(Assumptions!$B$13*AD110/365))</f>
        <v>2651.2789109589039</v>
      </c>
      <c r="AF110" s="40">
        <f t="shared" si="11"/>
        <v>5.6210890410961838</v>
      </c>
      <c r="AG110" s="3">
        <f>(C110*Assumptions!$B$16)+(AB110*Assumptions!$B$17)</f>
        <v>1.83968</v>
      </c>
      <c r="AH110" s="40">
        <f t="shared" si="12"/>
        <v>3.7814090410961838</v>
      </c>
      <c r="AI110" s="26">
        <f>C110+(AB110*Assumptions!$B$15)</f>
        <v>3493.377</v>
      </c>
      <c r="AJ110" s="7">
        <f t="shared" si="13"/>
        <v>1.0824508895250023E-3</v>
      </c>
      <c r="AK110" s="27">
        <f t="shared" si="14"/>
        <v>5.2679276623550106E-3</v>
      </c>
      <c r="AL110" s="28" t="str">
        <f>IF(AND(AD110&gt;0,AK110  &gt; Assumptions!$B$13), "ENTER", "DONT ENTER")</f>
        <v>DONT ENTER</v>
      </c>
    </row>
    <row r="111" spans="1:38" x14ac:dyDescent="0.3">
      <c r="A111" s="25">
        <v>45856</v>
      </c>
      <c r="B111" s="3" t="s">
        <v>27</v>
      </c>
      <c r="C111" s="26">
        <f>VLOOKUP(A111, Raw_Data_Adani!A:N, 8, FALSE)</f>
        <v>2596.1</v>
      </c>
      <c r="D111" s="26">
        <f>VLOOKUP(A111, Raw_Data_Adani!O:Y, 8, FALSE)</f>
        <v>2604.6999999999998</v>
      </c>
      <c r="E111" s="25">
        <f>Assumptions!$B$30</f>
        <v>45869</v>
      </c>
      <c r="F111" s="3">
        <f t="shared" si="15"/>
        <v>13</v>
      </c>
      <c r="G111" s="3">
        <f>C111*(1+(Assumptions!$B$19*F111/365))</f>
        <v>2596.5623191780819</v>
      </c>
      <c r="H111" s="26">
        <f t="shared" si="16"/>
        <v>8.1376808219179111</v>
      </c>
      <c r="I111" s="3">
        <f>(C111*Assumptions!$B$16)+(D111*Assumptions!$B$17)</f>
        <v>1.8189899999999999</v>
      </c>
      <c r="J111" s="26">
        <f t="shared" si="17"/>
        <v>6.3186908219179116</v>
      </c>
      <c r="K111" s="26">
        <f>C111+(D111*Assumptions!$B$15)</f>
        <v>3455.6509999999998</v>
      </c>
      <c r="L111" s="7">
        <f t="shared" si="18"/>
        <v>1.828509540436205E-3</v>
      </c>
      <c r="M111" s="27">
        <f t="shared" si="19"/>
        <v>5.1338921712247292E-2</v>
      </c>
      <c r="N111" s="28" t="str">
        <f>IF(AND(F111&gt;0, M111 &gt; Assumptions!$B$13), "ENTER", "DONT ENTER")</f>
        <v>DONT ENTER</v>
      </c>
      <c r="P111" s="26">
        <f>VLOOKUP(A111, Raw_Data_Adani!AB:AP, 8, FALSE)</f>
        <v>2618.9</v>
      </c>
      <c r="Q111" s="8">
        <f>Assumptions!$B$31</f>
        <v>45897</v>
      </c>
      <c r="R111" s="3">
        <f t="shared" si="20"/>
        <v>41</v>
      </c>
      <c r="S111" s="3">
        <f>C111*(1+(Assumptions!$B$19*R111/365))</f>
        <v>2597.5580835616438</v>
      </c>
      <c r="T111" s="26">
        <f t="shared" si="21"/>
        <v>21.341916438356293</v>
      </c>
      <c r="U111" s="3">
        <f>(C111*Assumptions!$B$16)+(P111*Assumptions!$B$17)</f>
        <v>1.8218299999999998</v>
      </c>
      <c r="V111" s="26">
        <f t="shared" si="22"/>
        <v>19.520086438356294</v>
      </c>
      <c r="W111" s="26">
        <f>C111+(P111*Assumptions!$B$15)</f>
        <v>3460.337</v>
      </c>
      <c r="X111" s="7">
        <f t="shared" si="23"/>
        <v>5.6410940432554098E-3</v>
      </c>
      <c r="Y111" s="27">
        <f t="shared" si="24"/>
        <v>5.0219495750932305E-2</v>
      </c>
      <c r="Z111" s="28" t="str">
        <f>IF(AND(R111&gt;0,Y111  &gt; Assumptions!$B$13), "ENTER", "DONT ENTER")</f>
        <v>DONT ENTER</v>
      </c>
      <c r="AB111" s="40">
        <f>VLOOKUP(A111, Raw_Data_Adani!AQ:BE, 8, FALSE)</f>
        <v>2635</v>
      </c>
      <c r="AC111" s="25">
        <f>Assumptions!$B$32</f>
        <v>45930</v>
      </c>
      <c r="AD111" s="3">
        <f t="shared" si="10"/>
        <v>74</v>
      </c>
      <c r="AE111" s="3">
        <f>C111*(1+(Assumptions!$B$13*AD111/365))</f>
        <v>2630.0484528767124</v>
      </c>
      <c r="AF111" s="40">
        <f t="shared" si="11"/>
        <v>4.9515471232875825</v>
      </c>
      <c r="AG111" s="3">
        <f>(C111*Assumptions!$B$16)+(AB111*Assumptions!$B$17)</f>
        <v>1.8250500000000001</v>
      </c>
      <c r="AH111" s="40">
        <f t="shared" si="12"/>
        <v>3.1264971232875824</v>
      </c>
      <c r="AI111" s="26">
        <f>C111+(AB111*Assumptions!$B$15)</f>
        <v>3465.65</v>
      </c>
      <c r="AJ111" s="7">
        <f t="shared" si="13"/>
        <v>9.0213873971335321E-4</v>
      </c>
      <c r="AK111" s="27">
        <f t="shared" si="14"/>
        <v>4.4497383783158638E-3</v>
      </c>
      <c r="AL111" s="28" t="str">
        <f>IF(AND(AD111&gt;0,AK111  &gt; Assumptions!$B$13), "ENTER", "DONT ENTER")</f>
        <v>DONT ENTER</v>
      </c>
    </row>
    <row r="112" spans="1:38" x14ac:dyDescent="0.3">
      <c r="A112" s="25">
        <v>45857</v>
      </c>
      <c r="B112" s="3" t="s">
        <v>27</v>
      </c>
      <c r="C112" s="3" t="e">
        <f>VLOOKUP(A112, Raw_Data_Adani!A:N, 8, FALSE)</f>
        <v>#N/A</v>
      </c>
      <c r="D112" s="3" t="e">
        <f>VLOOKUP(A112, Raw_Data_Adani!O:Y, 8, FALSE)</f>
        <v>#N/A</v>
      </c>
      <c r="E112" s="25">
        <f>Assumptions!$B$30</f>
        <v>45869</v>
      </c>
      <c r="F112" s="3">
        <f t="shared" si="15"/>
        <v>12</v>
      </c>
      <c r="G112" s="3" t="e">
        <f>C112*(1+(Assumptions!$B$19*F112/365))</f>
        <v>#N/A</v>
      </c>
      <c r="H112" s="3" t="e">
        <f t="shared" si="16"/>
        <v>#N/A</v>
      </c>
      <c r="I112" s="3" t="e">
        <f>(C112*Assumptions!$B$16)+(D112*Assumptions!$B$17)</f>
        <v>#N/A</v>
      </c>
      <c r="J112" s="3" t="e">
        <f t="shared" si="17"/>
        <v>#N/A</v>
      </c>
      <c r="K112" s="3" t="e">
        <f>C112+(D112*Assumptions!$B$15)</f>
        <v>#N/A</v>
      </c>
      <c r="L112" s="7" t="e">
        <f t="shared" si="18"/>
        <v>#N/A</v>
      </c>
      <c r="M112" s="7" t="e">
        <f t="shared" si="19"/>
        <v>#N/A</v>
      </c>
      <c r="N112" s="3" t="e">
        <f>IF(AND(F112&gt;0, M112 &gt; Assumptions!$B$13), "ENTER", "DONT ENTER")</f>
        <v>#N/A</v>
      </c>
      <c r="P112" s="3" t="e">
        <f>VLOOKUP(A112, Raw_Data_Adani!AB:AP, 8, FALSE)</f>
        <v>#N/A</v>
      </c>
      <c r="Q112" s="8">
        <f>Assumptions!$B$31</f>
        <v>45897</v>
      </c>
      <c r="R112" s="3">
        <f t="shared" si="20"/>
        <v>40</v>
      </c>
      <c r="S112" s="3" t="e">
        <f>C112*(1+(Assumptions!$B$19*R112/365))</f>
        <v>#N/A</v>
      </c>
      <c r="T112" s="26" t="e">
        <f t="shared" si="21"/>
        <v>#N/A</v>
      </c>
      <c r="U112" s="3" t="e">
        <f>(C112*Assumptions!$B$16)+(P112*Assumptions!$B$17)</f>
        <v>#N/A</v>
      </c>
      <c r="V112" s="3" t="e">
        <f t="shared" si="22"/>
        <v>#N/A</v>
      </c>
      <c r="W112" s="26" t="e">
        <f>C112+(P112*Assumptions!$B$15)</f>
        <v>#N/A</v>
      </c>
      <c r="X112" s="7" t="e">
        <f t="shared" si="23"/>
        <v>#N/A</v>
      </c>
      <c r="Y112" s="7" t="e">
        <f t="shared" si="24"/>
        <v>#N/A</v>
      </c>
      <c r="Z112" s="3" t="e">
        <f>IF(AND(R112&gt;0,Y112  &gt; Assumptions!$B$13), "ENTER", "DONT ENTER")</f>
        <v>#N/A</v>
      </c>
      <c r="AB112" s="3" t="e">
        <f>VLOOKUP(A112, Raw_Data_Adani!AQ:BE, 8, FALSE)</f>
        <v>#N/A</v>
      </c>
      <c r="AC112" s="25">
        <f>Assumptions!$B$32</f>
        <v>45930</v>
      </c>
      <c r="AD112" s="3">
        <f t="shared" si="10"/>
        <v>73</v>
      </c>
      <c r="AE112" s="3" t="e">
        <f>C112*(1+(Assumptions!$B$13*AD112/365))</f>
        <v>#N/A</v>
      </c>
      <c r="AF112" s="3" t="e">
        <f t="shared" si="11"/>
        <v>#N/A</v>
      </c>
      <c r="AG112" s="3" t="e">
        <f>(C112*Assumptions!$B$16)+(AB112*Assumptions!$B$17)</f>
        <v>#N/A</v>
      </c>
      <c r="AH112" s="3" t="e">
        <f t="shared" si="12"/>
        <v>#N/A</v>
      </c>
      <c r="AI112" s="3" t="e">
        <f>C112+(AB112*Assumptions!$B$15)</f>
        <v>#N/A</v>
      </c>
      <c r="AJ112" s="7" t="e">
        <f t="shared" si="13"/>
        <v>#N/A</v>
      </c>
      <c r="AK112" s="7" t="e">
        <f t="shared" si="14"/>
        <v>#N/A</v>
      </c>
      <c r="AL112" s="3" t="e">
        <f>IF(AND(AD112&gt;0,AK112  &gt; Assumptions!$B$13), "ENTER", "DONT ENTER")</f>
        <v>#N/A</v>
      </c>
    </row>
    <row r="113" spans="1:38" x14ac:dyDescent="0.3">
      <c r="A113" s="25">
        <v>45858</v>
      </c>
      <c r="B113" s="3" t="s">
        <v>27</v>
      </c>
      <c r="C113" s="3" t="e">
        <f>VLOOKUP(A113, Raw_Data_Adani!A:N, 8, FALSE)</f>
        <v>#N/A</v>
      </c>
      <c r="D113" s="3" t="e">
        <f>VLOOKUP(A113, Raw_Data_Adani!O:Y, 8, FALSE)</f>
        <v>#N/A</v>
      </c>
      <c r="E113" s="25">
        <f>Assumptions!$B$30</f>
        <v>45869</v>
      </c>
      <c r="F113" s="3">
        <f t="shared" si="15"/>
        <v>11</v>
      </c>
      <c r="G113" s="3" t="e">
        <f>C113*(1+(Assumptions!$B$19*F113/365))</f>
        <v>#N/A</v>
      </c>
      <c r="H113" s="3" t="e">
        <f t="shared" si="16"/>
        <v>#N/A</v>
      </c>
      <c r="I113" s="3" t="e">
        <f>(C113*Assumptions!$B$16)+(D113*Assumptions!$B$17)</f>
        <v>#N/A</v>
      </c>
      <c r="J113" s="3" t="e">
        <f t="shared" si="17"/>
        <v>#N/A</v>
      </c>
      <c r="K113" s="3" t="e">
        <f>C113+(D113*Assumptions!$B$15)</f>
        <v>#N/A</v>
      </c>
      <c r="L113" s="7" t="e">
        <f t="shared" si="18"/>
        <v>#N/A</v>
      </c>
      <c r="M113" s="7" t="e">
        <f t="shared" si="19"/>
        <v>#N/A</v>
      </c>
      <c r="N113" s="3" t="e">
        <f>IF(AND(F113&gt;0, M113 &gt; Assumptions!$B$13), "ENTER", "DONT ENTER")</f>
        <v>#N/A</v>
      </c>
      <c r="P113" s="3" t="e">
        <f>VLOOKUP(A113, Raw_Data_Adani!AB:AP, 8, FALSE)</f>
        <v>#N/A</v>
      </c>
      <c r="Q113" s="8">
        <f>Assumptions!$B$31</f>
        <v>45897</v>
      </c>
      <c r="R113" s="3">
        <f t="shared" si="20"/>
        <v>39</v>
      </c>
      <c r="S113" s="3" t="e">
        <f>C113*(1+(Assumptions!$B$19*R113/365))</f>
        <v>#N/A</v>
      </c>
      <c r="T113" s="26" t="e">
        <f t="shared" si="21"/>
        <v>#N/A</v>
      </c>
      <c r="U113" s="3" t="e">
        <f>(C113*Assumptions!$B$16)+(P113*Assumptions!$B$17)</f>
        <v>#N/A</v>
      </c>
      <c r="V113" s="3" t="e">
        <f t="shared" si="22"/>
        <v>#N/A</v>
      </c>
      <c r="W113" s="26" t="e">
        <f>C113+(P113*Assumptions!$B$15)</f>
        <v>#N/A</v>
      </c>
      <c r="X113" s="7" t="e">
        <f t="shared" si="23"/>
        <v>#N/A</v>
      </c>
      <c r="Y113" s="7" t="e">
        <f t="shared" si="24"/>
        <v>#N/A</v>
      </c>
      <c r="Z113" s="3" t="e">
        <f>IF(AND(R113&gt;0,Y113  &gt; Assumptions!$B$13), "ENTER", "DONT ENTER")</f>
        <v>#N/A</v>
      </c>
      <c r="AB113" s="3" t="e">
        <f>VLOOKUP(A113, Raw_Data_Adani!AQ:BE, 8, FALSE)</f>
        <v>#N/A</v>
      </c>
      <c r="AC113" s="25">
        <f>Assumptions!$B$32</f>
        <v>45930</v>
      </c>
      <c r="AD113" s="3">
        <f t="shared" si="10"/>
        <v>72</v>
      </c>
      <c r="AE113" s="3" t="e">
        <f>C113*(1+(Assumptions!$B$13*AD113/365))</f>
        <v>#N/A</v>
      </c>
      <c r="AF113" s="3" t="e">
        <f t="shared" si="11"/>
        <v>#N/A</v>
      </c>
      <c r="AG113" s="3" t="e">
        <f>(C113*Assumptions!$B$16)+(AB113*Assumptions!$B$17)</f>
        <v>#N/A</v>
      </c>
      <c r="AH113" s="3" t="e">
        <f t="shared" si="12"/>
        <v>#N/A</v>
      </c>
      <c r="AI113" s="3" t="e">
        <f>C113+(AB113*Assumptions!$B$15)</f>
        <v>#N/A</v>
      </c>
      <c r="AJ113" s="7" t="e">
        <f t="shared" si="13"/>
        <v>#N/A</v>
      </c>
      <c r="AK113" s="7" t="e">
        <f t="shared" si="14"/>
        <v>#N/A</v>
      </c>
      <c r="AL113" s="3" t="e">
        <f>IF(AND(AD113&gt;0,AK113  &gt; Assumptions!$B$13), "ENTER", "DONT ENTER")</f>
        <v>#N/A</v>
      </c>
    </row>
    <row r="114" spans="1:38" x14ac:dyDescent="0.3">
      <c r="A114" s="25">
        <v>45859</v>
      </c>
      <c r="B114" s="3" t="s">
        <v>27</v>
      </c>
      <c r="C114" s="26">
        <f>VLOOKUP(A114, Raw_Data_Adani!A:N, 8, FALSE)</f>
        <v>2619.5</v>
      </c>
      <c r="D114" s="26">
        <f>VLOOKUP(A114, Raw_Data_Adani!O:Y, 8, FALSE)</f>
        <v>2625.8</v>
      </c>
      <c r="E114" s="25">
        <f>Assumptions!$B$30</f>
        <v>45869</v>
      </c>
      <c r="F114" s="3">
        <f t="shared" si="15"/>
        <v>10</v>
      </c>
      <c r="G114" s="3">
        <f>C114*(1+(Assumptions!$B$19*F114/365))</f>
        <v>2619.8588356164382</v>
      </c>
      <c r="H114" s="26">
        <f t="shared" si="16"/>
        <v>5.9411643835619543</v>
      </c>
      <c r="I114" s="3">
        <f>(C114*Assumptions!$B$16)+(D114*Assumptions!$B$17)</f>
        <v>1.83491</v>
      </c>
      <c r="J114" s="26">
        <f t="shared" si="17"/>
        <v>4.1062543835619545</v>
      </c>
      <c r="K114" s="26">
        <f>C114+(D114*Assumptions!$B$15)</f>
        <v>3486.0140000000001</v>
      </c>
      <c r="L114" s="7">
        <f t="shared" si="18"/>
        <v>1.1779225165366388E-3</v>
      </c>
      <c r="M114" s="27">
        <f t="shared" si="19"/>
        <v>4.2994171853587317E-2</v>
      </c>
      <c r="N114" s="28" t="str">
        <f>IF(AND(F114&gt;0, M114 &gt; Assumptions!$B$13), "ENTER", "DONT ENTER")</f>
        <v>DONT ENTER</v>
      </c>
      <c r="P114" s="40">
        <f>VLOOKUP(A114, Raw_Data_Adani!AB:AP, 8, FALSE)</f>
        <v>2639.5</v>
      </c>
      <c r="Q114" s="8">
        <f>Assumptions!$B$31</f>
        <v>45897</v>
      </c>
      <c r="R114" s="3">
        <f t="shared" si="20"/>
        <v>38</v>
      </c>
      <c r="S114" s="3">
        <f>C114*(1+(Assumptions!$B$19*R114/365))</f>
        <v>2620.863575342466</v>
      </c>
      <c r="T114" s="26">
        <f t="shared" si="21"/>
        <v>18.636424657534008</v>
      </c>
      <c r="U114" s="3">
        <f>(C114*Assumptions!$B$16)+(P114*Assumptions!$B$17)</f>
        <v>1.83765</v>
      </c>
      <c r="V114" s="26">
        <f t="shared" si="22"/>
        <v>16.798774657534008</v>
      </c>
      <c r="W114" s="26">
        <f>C114+(P114*Assumptions!$B$15)</f>
        <v>3490.5349999999999</v>
      </c>
      <c r="X114" s="7">
        <f t="shared" si="23"/>
        <v>4.8126647226095741E-3</v>
      </c>
      <c r="Y114" s="27">
        <f t="shared" si="24"/>
        <v>4.6226911151381431E-2</v>
      </c>
      <c r="Z114" s="28" t="str">
        <f>IF(AND(R114&gt;0,Y114  &gt; Assumptions!$B$13), "ENTER", "DONT ENTER")</f>
        <v>DONT ENTER</v>
      </c>
      <c r="AB114" s="26">
        <f>VLOOKUP(A114, Raw_Data_Adani!AQ:BE, 8, FALSE)</f>
        <v>2645</v>
      </c>
      <c r="AC114" s="25">
        <f>Assumptions!$B$32</f>
        <v>45930</v>
      </c>
      <c r="AD114" s="3">
        <f t="shared" si="10"/>
        <v>71</v>
      </c>
      <c r="AE114" s="3">
        <f>C114*(1+(Assumptions!$B$13*AD114/365))</f>
        <v>2652.3657541095895</v>
      </c>
      <c r="AF114" s="26">
        <f t="shared" si="11"/>
        <v>-7.3657541095894885</v>
      </c>
      <c r="AG114" s="3">
        <f>(C114*Assumptions!$B$16)+(AB114*Assumptions!$B$17)</f>
        <v>1.8387500000000001</v>
      </c>
      <c r="AH114" s="26">
        <f t="shared" si="12"/>
        <v>-9.2045041095894895</v>
      </c>
      <c r="AI114" s="26">
        <f>C114+(AB114*Assumptions!$B$15)</f>
        <v>3492.35</v>
      </c>
      <c r="AJ114" s="7">
        <f t="shared" si="13"/>
        <v>-2.635619027184987E-3</v>
      </c>
      <c r="AK114" s="27">
        <f t="shared" si="14"/>
        <v>-1.3549309083415777E-2</v>
      </c>
      <c r="AL114" s="28" t="str">
        <f>IF(AND(AD114&gt;0,AK114  &gt; Assumptions!$B$13), "ENTER", "DONT ENTER")</f>
        <v>DONT ENTER</v>
      </c>
    </row>
    <row r="115" spans="1:38" x14ac:dyDescent="0.3">
      <c r="A115" s="25">
        <v>45860</v>
      </c>
      <c r="B115" s="3" t="s">
        <v>27</v>
      </c>
      <c r="C115" s="26">
        <f>VLOOKUP(A115, Raw_Data_Adani!A:N, 8, FALSE)</f>
        <v>2587.8000000000002</v>
      </c>
      <c r="D115" s="26">
        <f>VLOOKUP(A115, Raw_Data_Adani!O:Y, 8, FALSE)</f>
        <v>2594.5</v>
      </c>
      <c r="E115" s="25">
        <f>Assumptions!$B$30</f>
        <v>45869</v>
      </c>
      <c r="F115" s="3">
        <f t="shared" si="15"/>
        <v>9</v>
      </c>
      <c r="G115" s="3">
        <f>C115*(1+(Assumptions!$B$19*F115/365))</f>
        <v>2588.1190438356166</v>
      </c>
      <c r="H115" s="26">
        <f t="shared" si="16"/>
        <v>6.3809561643834058</v>
      </c>
      <c r="I115" s="3">
        <f>(C115*Assumptions!$B$16)+(D115*Assumptions!$B$17)</f>
        <v>1.8128000000000002</v>
      </c>
      <c r="J115" s="26">
        <f t="shared" si="17"/>
        <v>4.5681561643834057</v>
      </c>
      <c r="K115" s="26">
        <f>C115+(D115*Assumptions!$B$15)</f>
        <v>3443.9850000000001</v>
      </c>
      <c r="L115" s="7">
        <f t="shared" si="18"/>
        <v>1.3264158131883286E-3</v>
      </c>
      <c r="M115" s="27">
        <f t="shared" si="19"/>
        <v>5.3793530201526663E-2</v>
      </c>
      <c r="N115" s="28" t="str">
        <f>IF(AND(F115&gt;0, M115 &gt; Assumptions!$B$13), "ENTER", "DONT ENTER")</f>
        <v>DONT ENTER</v>
      </c>
      <c r="P115" s="40">
        <f>VLOOKUP(A115, Raw_Data_Adani!AB:AP, 8, FALSE)</f>
        <v>2608.1999999999998</v>
      </c>
      <c r="Q115" s="8">
        <f>Assumptions!$B$31</f>
        <v>45897</v>
      </c>
      <c r="R115" s="3">
        <f t="shared" si="20"/>
        <v>37</v>
      </c>
      <c r="S115" s="3">
        <f>C115*(1+(Assumptions!$B$19*R115/365))</f>
        <v>2589.1116246575343</v>
      </c>
      <c r="T115" s="26">
        <f t="shared" si="21"/>
        <v>19.088375342465497</v>
      </c>
      <c r="U115" s="3">
        <f>(C115*Assumptions!$B$16)+(P115*Assumptions!$B$17)</f>
        <v>1.8155399999999999</v>
      </c>
      <c r="V115" s="26">
        <f t="shared" si="22"/>
        <v>17.272835342465498</v>
      </c>
      <c r="W115" s="26">
        <f>C115+(P115*Assumptions!$B$15)</f>
        <v>3448.5060000000003</v>
      </c>
      <c r="X115" s="7">
        <f t="shared" si="23"/>
        <v>5.0087879628063561E-3</v>
      </c>
      <c r="Y115" s="27">
        <f t="shared" si="24"/>
        <v>4.9411016389846484E-2</v>
      </c>
      <c r="Z115" s="28" t="str">
        <f>IF(AND(R115&gt;0,Y115  &gt; Assumptions!$B$13), "ENTER", "DONT ENTER")</f>
        <v>DONT ENTER</v>
      </c>
      <c r="AB115" s="40">
        <f>VLOOKUP(A115, Raw_Data_Adani!AQ:BE, 8, FALSE)</f>
        <v>2621.1999999999998</v>
      </c>
      <c r="AC115" s="25">
        <f>Assumptions!$B$32</f>
        <v>45930</v>
      </c>
      <c r="AD115" s="3">
        <f t="shared" si="10"/>
        <v>70</v>
      </c>
      <c r="AE115" s="3">
        <f>C115*(1+(Assumptions!$B$13*AD115/365))</f>
        <v>2619.8107315068492</v>
      </c>
      <c r="AF115" s="40">
        <f t="shared" si="11"/>
        <v>1.3892684931506665</v>
      </c>
      <c r="AG115" s="3">
        <f>(C115*Assumptions!$B$16)+(AB115*Assumptions!$B$17)</f>
        <v>1.8181400000000001</v>
      </c>
      <c r="AH115" s="40">
        <f t="shared" si="12"/>
        <v>-0.42887150684933362</v>
      </c>
      <c r="AI115" s="26">
        <f>C115+(AB115*Assumptions!$B$15)</f>
        <v>3452.7960000000003</v>
      </c>
      <c r="AJ115" s="7">
        <f t="shared" si="13"/>
        <v>-1.2420991765784412E-4</v>
      </c>
      <c r="AK115" s="27">
        <f t="shared" si="14"/>
        <v>-6.4766599921590149E-4</v>
      </c>
      <c r="AL115" s="28" t="str">
        <f>IF(AND(AD115&gt;0,AK115  &gt; Assumptions!$B$13), "ENTER", "DONT ENTER")</f>
        <v>DONT ENTER</v>
      </c>
    </row>
    <row r="116" spans="1:38" x14ac:dyDescent="0.3">
      <c r="A116" s="25">
        <v>45861</v>
      </c>
      <c r="B116" s="3" t="s">
        <v>27</v>
      </c>
      <c r="C116" s="26">
        <f>VLOOKUP(A116, Raw_Data_Adani!A:N, 8, FALSE)</f>
        <v>2614.5</v>
      </c>
      <c r="D116" s="26">
        <f>VLOOKUP(A116, Raw_Data_Adani!O:Y, 8, FALSE)</f>
        <v>2621.8</v>
      </c>
      <c r="E116" s="25">
        <f>Assumptions!$B$30</f>
        <v>45869</v>
      </c>
      <c r="F116" s="3">
        <f t="shared" si="15"/>
        <v>8</v>
      </c>
      <c r="G116" s="3">
        <f>C116*(1+(Assumptions!$B$19*F116/365))</f>
        <v>2614.7865205479452</v>
      </c>
      <c r="H116" s="26">
        <f t="shared" si="16"/>
        <v>7.0134794520549804</v>
      </c>
      <c r="I116" s="3">
        <f>(C116*Assumptions!$B$16)+(D116*Assumptions!$B$17)</f>
        <v>1.83161</v>
      </c>
      <c r="J116" s="26">
        <f t="shared" si="17"/>
        <v>5.1818694520549808</v>
      </c>
      <c r="K116" s="26">
        <f>C116+(D116*Assumptions!$B$15)</f>
        <v>3479.694</v>
      </c>
      <c r="L116" s="7">
        <f t="shared" si="18"/>
        <v>1.4891738905935352E-3</v>
      </c>
      <c r="M116" s="29">
        <f t="shared" si="19"/>
        <v>6.7943558758330039E-2</v>
      </c>
      <c r="N116" s="30" t="str">
        <f>IF(AND(F116&gt;0, M116 &gt; Assumptions!$B$13), "ENTER", "DONT ENTER")</f>
        <v>ENTER</v>
      </c>
      <c r="P116" s="40">
        <f>VLOOKUP(A116, Raw_Data_Adani!AB:AP, 8, FALSE)</f>
        <v>2636.5</v>
      </c>
      <c r="Q116" s="8">
        <f>Assumptions!$B$31</f>
        <v>45897</v>
      </c>
      <c r="R116" s="3">
        <f t="shared" si="20"/>
        <v>36</v>
      </c>
      <c r="S116" s="3">
        <f>C116*(1+(Assumptions!$B$19*R116/365))</f>
        <v>2615.7893424657532</v>
      </c>
      <c r="T116" s="26">
        <f t="shared" si="21"/>
        <v>20.71065753424682</v>
      </c>
      <c r="U116" s="3">
        <f>(C116*Assumptions!$B$16)+(P116*Assumptions!$B$17)</f>
        <v>1.8345500000000001</v>
      </c>
      <c r="V116" s="26">
        <f t="shared" si="22"/>
        <v>18.87610753424682</v>
      </c>
      <c r="W116" s="26">
        <f>C116+(P116*Assumptions!$B$15)</f>
        <v>3484.5450000000001</v>
      </c>
      <c r="X116" s="7">
        <f t="shared" si="23"/>
        <v>5.417093920223966E-3</v>
      </c>
      <c r="Y116" s="27">
        <f t="shared" si="24"/>
        <v>5.4923313357826326E-2</v>
      </c>
      <c r="Z116" s="28" t="str">
        <f>IF(AND(R116&gt;0,Y116  &gt; Assumptions!$B$13), "ENTER", "DONT ENTER")</f>
        <v>DONT ENTER</v>
      </c>
      <c r="AB116" s="40">
        <f>VLOOKUP(A116, Raw_Data_Adani!AQ:BE, 8, FALSE)</f>
        <v>2651.2</v>
      </c>
      <c r="AC116" s="25">
        <f>Assumptions!$B$32</f>
        <v>45930</v>
      </c>
      <c r="AD116" s="3">
        <f t="shared" si="10"/>
        <v>69</v>
      </c>
      <c r="AE116" s="3">
        <f>C116*(1+(Assumptions!$B$13*AD116/365))</f>
        <v>2646.3789924657535</v>
      </c>
      <c r="AF116" s="40">
        <f t="shared" si="11"/>
        <v>4.8210075342462915</v>
      </c>
      <c r="AG116" s="3">
        <f>(C116*Assumptions!$B$16)+(AB116*Assumptions!$B$17)</f>
        <v>1.8374899999999998</v>
      </c>
      <c r="AH116" s="40">
        <f t="shared" si="12"/>
        <v>2.9835175342462916</v>
      </c>
      <c r="AI116" s="26">
        <f>C116+(AB116*Assumptions!$B$15)</f>
        <v>3489.3959999999997</v>
      </c>
      <c r="AJ116" s="7">
        <f t="shared" si="13"/>
        <v>8.550240598218981E-4</v>
      </c>
      <c r="AK116" s="27">
        <f t="shared" si="14"/>
        <v>4.5229533599274322E-3</v>
      </c>
      <c r="AL116" s="28" t="str">
        <f>IF(AND(AD116&gt;0,AK116  &gt; Assumptions!$B$13), "ENTER", "DONT ENTER")</f>
        <v>DONT ENTER</v>
      </c>
    </row>
    <row r="117" spans="1:38" x14ac:dyDescent="0.3">
      <c r="A117" s="25">
        <v>45862</v>
      </c>
      <c r="B117" s="3" t="s">
        <v>27</v>
      </c>
      <c r="C117" s="26">
        <f>VLOOKUP(A117, Raw_Data_Adani!A:N, 8, FALSE)</f>
        <v>2608.4</v>
      </c>
      <c r="D117" s="26">
        <f>VLOOKUP(A117, Raw_Data_Adani!O:Y, 8, FALSE)</f>
        <v>2613.1</v>
      </c>
      <c r="E117" s="25">
        <f>Assumptions!$B$30</f>
        <v>45869</v>
      </c>
      <c r="F117" s="3">
        <f t="shared" si="15"/>
        <v>7</v>
      </c>
      <c r="G117" s="3">
        <f>C117*(1+(Assumptions!$B$19*F117/365))</f>
        <v>2608.6501205479453</v>
      </c>
      <c r="H117" s="26">
        <f t="shared" si="16"/>
        <v>4.4498794520545744</v>
      </c>
      <c r="I117" s="3">
        <f>(C117*Assumptions!$B$16)+(D117*Assumptions!$B$17)</f>
        <v>1.8268200000000001</v>
      </c>
      <c r="J117" s="26">
        <f t="shared" si="17"/>
        <v>2.6230594520545742</v>
      </c>
      <c r="K117" s="26">
        <f>C117+(D117*Assumptions!$B$15)</f>
        <v>3470.723</v>
      </c>
      <c r="L117" s="7">
        <f t="shared" si="18"/>
        <v>7.5576744443580615E-4</v>
      </c>
      <c r="M117" s="27">
        <f t="shared" si="19"/>
        <v>3.9407873888438465E-2</v>
      </c>
      <c r="N117" s="28" t="str">
        <f>IF(AND(F117&gt;0, M117 &gt; Assumptions!$B$13), "ENTER", "DONT ENTER")</f>
        <v>DONT ENTER</v>
      </c>
      <c r="P117" s="26">
        <f>VLOOKUP(A117, Raw_Data_Adani!AB:AP, 8, FALSE)</f>
        <v>2627.3</v>
      </c>
      <c r="Q117" s="8">
        <f>Assumptions!$B$31</f>
        <v>45897</v>
      </c>
      <c r="R117" s="3">
        <f t="shared" si="20"/>
        <v>35</v>
      </c>
      <c r="S117" s="3">
        <f>C117*(1+(Assumptions!$B$19*R117/365))</f>
        <v>2609.6506027397263</v>
      </c>
      <c r="T117" s="26">
        <f t="shared" si="21"/>
        <v>17.649397260273872</v>
      </c>
      <c r="U117" s="3">
        <f>(C117*Assumptions!$B$16)+(P117*Assumptions!$B$17)</f>
        <v>1.8296600000000001</v>
      </c>
      <c r="V117" s="26">
        <f t="shared" si="22"/>
        <v>15.819737260273872</v>
      </c>
      <c r="W117" s="26">
        <f>C117+(P117*Assumptions!$B$15)</f>
        <v>3475.4090000000001</v>
      </c>
      <c r="X117" s="7">
        <f t="shared" si="23"/>
        <v>4.5519066274714347E-3</v>
      </c>
      <c r="Y117" s="27">
        <f t="shared" si="24"/>
        <v>4.7469883400773537E-2</v>
      </c>
      <c r="Z117" s="28" t="str">
        <f>IF(AND(R117&gt;0,Y117  &gt; Assumptions!$B$13), "ENTER", "DONT ENTER")</f>
        <v>DONT ENTER</v>
      </c>
      <c r="AB117" s="40">
        <f>VLOOKUP(A117, Raw_Data_Adani!AQ:BE, 8, FALSE)</f>
        <v>2641.1</v>
      </c>
      <c r="AC117" s="25">
        <f>Assumptions!$B$32</f>
        <v>45930</v>
      </c>
      <c r="AD117" s="3">
        <f t="shared" si="10"/>
        <v>68</v>
      </c>
      <c r="AE117" s="3">
        <f>C117*(1+(Assumptions!$B$13*AD117/365))</f>
        <v>2639.7436778082192</v>
      </c>
      <c r="AF117" s="40">
        <f t="shared" si="11"/>
        <v>1.3563221917806914</v>
      </c>
      <c r="AG117" s="3">
        <f>(C117*Assumptions!$B$16)+(AB117*Assumptions!$B$17)</f>
        <v>1.8324199999999999</v>
      </c>
      <c r="AH117" s="40">
        <f t="shared" si="12"/>
        <v>-0.47609780821930858</v>
      </c>
      <c r="AI117" s="26">
        <f>C117+(AB117*Assumptions!$B$15)</f>
        <v>3479.9630000000002</v>
      </c>
      <c r="AJ117" s="7">
        <f t="shared" si="13"/>
        <v>-1.3681116960706437E-4</v>
      </c>
      <c r="AK117" s="27">
        <f t="shared" si="14"/>
        <v>-7.3435407215556602E-4</v>
      </c>
      <c r="AL117" s="28" t="str">
        <f>IF(AND(AD117&gt;0,AK117  &gt; Assumptions!$B$13), "ENTER", "DONT ENTER")</f>
        <v>DONT ENTER</v>
      </c>
    </row>
    <row r="118" spans="1:38" x14ac:dyDescent="0.3">
      <c r="A118" s="25">
        <v>45863</v>
      </c>
      <c r="B118" s="3" t="s">
        <v>27</v>
      </c>
      <c r="C118" s="26">
        <f>VLOOKUP(A118, Raw_Data_Adani!A:N, 8, FALSE)</f>
        <v>2550.1</v>
      </c>
      <c r="D118" s="26">
        <f>VLOOKUP(A118, Raw_Data_Adani!O:Y, 8, FALSE)</f>
        <v>2550.1</v>
      </c>
      <c r="E118" s="25">
        <f>Assumptions!$B$30</f>
        <v>45869</v>
      </c>
      <c r="F118" s="3">
        <f t="shared" si="15"/>
        <v>6</v>
      </c>
      <c r="G118" s="3">
        <f>C118*(1+(Assumptions!$B$19*F118/365))</f>
        <v>2550.3095972602741</v>
      </c>
      <c r="H118" s="26">
        <f t="shared" si="16"/>
        <v>-0.20959726027422221</v>
      </c>
      <c r="I118" s="3">
        <f>(C118*Assumptions!$B$16)+(D118*Assumptions!$B$17)</f>
        <v>1.7850700000000002</v>
      </c>
      <c r="J118" s="26">
        <f t="shared" si="17"/>
        <v>-1.9946672602742224</v>
      </c>
      <c r="K118" s="26">
        <f>C118+(D118*Assumptions!$B$15)</f>
        <v>3391.6329999999998</v>
      </c>
      <c r="L118" s="7">
        <f t="shared" si="18"/>
        <v>-5.8811412091880886E-4</v>
      </c>
      <c r="M118" s="27">
        <f t="shared" si="19"/>
        <v>-3.5776942355894209E-2</v>
      </c>
      <c r="N118" s="28" t="str">
        <f>IF(AND(F118&gt;0, M118 &gt; Assumptions!$B$13), "ENTER", "DONT ENTER")</f>
        <v>DONT ENTER</v>
      </c>
      <c r="P118" s="26">
        <f>VLOOKUP(A118, Raw_Data_Adani!AB:AP, 8, FALSE)</f>
        <v>2563.8000000000002</v>
      </c>
      <c r="Q118" s="8">
        <f>Assumptions!$B$31</f>
        <v>45897</v>
      </c>
      <c r="R118" s="3">
        <f t="shared" si="20"/>
        <v>34</v>
      </c>
      <c r="S118" s="3">
        <f>C118*(1+(Assumptions!$B$19*R118/365))</f>
        <v>2551.287717808219</v>
      </c>
      <c r="T118" s="26">
        <f t="shared" si="21"/>
        <v>12.512282191781196</v>
      </c>
      <c r="U118" s="3">
        <f>(C118*Assumptions!$B$16)+(P118*Assumptions!$B$17)</f>
        <v>1.7878100000000001</v>
      </c>
      <c r="V118" s="26">
        <f t="shared" si="22"/>
        <v>10.724472191781196</v>
      </c>
      <c r="W118" s="26">
        <f>C118+(P118*Assumptions!$B$15)</f>
        <v>3396.154</v>
      </c>
      <c r="X118" s="7">
        <f t="shared" si="23"/>
        <v>3.1578285883918089E-3</v>
      </c>
      <c r="Y118" s="27">
        <f t="shared" si="24"/>
        <v>3.3900218669500298E-2</v>
      </c>
      <c r="Z118" s="28" t="str">
        <f>IF(AND(R118&gt;0,Y118  &gt; Assumptions!$B$13), "ENTER", "DONT ENTER")</f>
        <v>DONT ENTER</v>
      </c>
      <c r="AB118" s="40">
        <f>VLOOKUP(A118, Raw_Data_Adani!AQ:BE, 8, FALSE)</f>
        <v>2577.1999999999998</v>
      </c>
      <c r="AC118" s="25">
        <f>Assumptions!$B$32</f>
        <v>45930</v>
      </c>
      <c r="AD118" s="3">
        <f t="shared" si="10"/>
        <v>67</v>
      </c>
      <c r="AE118" s="3">
        <f>C118*(1+(Assumptions!$B$13*AD118/365))</f>
        <v>2580.2924853424656</v>
      </c>
      <c r="AF118" s="40">
        <f t="shared" si="11"/>
        <v>-3.0924853424658068</v>
      </c>
      <c r="AG118" s="3">
        <f>(C118*Assumptions!$B$16)+(AB118*Assumptions!$B$17)</f>
        <v>1.7904900000000001</v>
      </c>
      <c r="AH118" s="40">
        <f t="shared" si="12"/>
        <v>-4.8829753424658069</v>
      </c>
      <c r="AI118" s="26">
        <f>C118+(AB118*Assumptions!$B$15)</f>
        <v>3400.576</v>
      </c>
      <c r="AJ118" s="7">
        <f t="shared" si="13"/>
        <v>-1.4359259556221671E-3</v>
      </c>
      <c r="AK118" s="27">
        <f t="shared" si="14"/>
        <v>-7.8225816985386717E-3</v>
      </c>
      <c r="AL118" s="28" t="str">
        <f>IF(AND(AD118&gt;0,AK118  &gt; Assumptions!$B$13), "ENTER", "DONT ENTER")</f>
        <v>DONT ENTER</v>
      </c>
    </row>
    <row r="119" spans="1:38" x14ac:dyDescent="0.3">
      <c r="A119" s="25">
        <v>45864</v>
      </c>
      <c r="B119" s="3" t="s">
        <v>27</v>
      </c>
      <c r="C119" s="3" t="e">
        <f>VLOOKUP(A119, Raw_Data_Adani!A:N, 8, FALSE)</f>
        <v>#N/A</v>
      </c>
      <c r="D119" s="3" t="e">
        <f>VLOOKUP(A119, Raw_Data_Adani!O:Y, 8, FALSE)</f>
        <v>#N/A</v>
      </c>
      <c r="E119" s="25">
        <f>Assumptions!$B$30</f>
        <v>45869</v>
      </c>
      <c r="F119" s="3">
        <f t="shared" si="15"/>
        <v>5</v>
      </c>
      <c r="G119" s="3" t="e">
        <f>C119*(1+(Assumptions!$B$19*F119/365))</f>
        <v>#N/A</v>
      </c>
      <c r="H119" s="3" t="e">
        <f t="shared" si="16"/>
        <v>#N/A</v>
      </c>
      <c r="I119" s="3" t="e">
        <f>(C119*Assumptions!$B$16)+(D119*Assumptions!$B$17)</f>
        <v>#N/A</v>
      </c>
      <c r="J119" s="3" t="e">
        <f t="shared" si="17"/>
        <v>#N/A</v>
      </c>
      <c r="K119" s="3" t="e">
        <f>C119+(D119*Assumptions!$B$15)</f>
        <v>#N/A</v>
      </c>
      <c r="L119" s="7" t="e">
        <f t="shared" si="18"/>
        <v>#N/A</v>
      </c>
      <c r="M119" s="7" t="e">
        <f t="shared" si="19"/>
        <v>#N/A</v>
      </c>
      <c r="N119" s="3" t="e">
        <f>IF(AND(F119&gt;0, M119 &gt; Assumptions!$B$13), "ENTER", "DONT ENTER")</f>
        <v>#N/A</v>
      </c>
      <c r="P119" s="3" t="e">
        <f>VLOOKUP(A119, Raw_Data_Adani!AB:AP, 8, FALSE)</f>
        <v>#N/A</v>
      </c>
      <c r="Q119" s="8">
        <f>Assumptions!$B$31</f>
        <v>45897</v>
      </c>
      <c r="R119" s="3">
        <f t="shared" si="20"/>
        <v>33</v>
      </c>
      <c r="S119" s="3" t="e">
        <f>C119*(1+(Assumptions!$B$19*R119/365))</f>
        <v>#N/A</v>
      </c>
      <c r="T119" s="26" t="e">
        <f t="shared" si="21"/>
        <v>#N/A</v>
      </c>
      <c r="U119" s="3" t="e">
        <f>(C119*Assumptions!$B$16)+(P119*Assumptions!$B$17)</f>
        <v>#N/A</v>
      </c>
      <c r="V119" s="3" t="e">
        <f t="shared" si="22"/>
        <v>#N/A</v>
      </c>
      <c r="W119" s="26" t="e">
        <f>C119+(P119*Assumptions!$B$15)</f>
        <v>#N/A</v>
      </c>
      <c r="X119" s="7" t="e">
        <f t="shared" si="23"/>
        <v>#N/A</v>
      </c>
      <c r="Y119" s="7" t="e">
        <f t="shared" si="24"/>
        <v>#N/A</v>
      </c>
      <c r="Z119" s="3" t="e">
        <f>IF(AND(R119&gt;0,Y119  &gt; Assumptions!$B$13), "ENTER", "DONT ENTER")</f>
        <v>#N/A</v>
      </c>
      <c r="AB119" s="3" t="e">
        <f>VLOOKUP(A119, Raw_Data_Adani!AQ:BE, 8, FALSE)</f>
        <v>#N/A</v>
      </c>
      <c r="AC119" s="25">
        <f>Assumptions!$B$32</f>
        <v>45930</v>
      </c>
      <c r="AD119" s="3">
        <f t="shared" si="10"/>
        <v>66</v>
      </c>
      <c r="AE119" s="3" t="e">
        <f>C119*(1+(Assumptions!$B$13*AD119/365))</f>
        <v>#N/A</v>
      </c>
      <c r="AF119" s="3" t="e">
        <f t="shared" si="11"/>
        <v>#N/A</v>
      </c>
      <c r="AG119" s="3" t="e">
        <f>(C119*Assumptions!$B$16)+(AB119*Assumptions!$B$17)</f>
        <v>#N/A</v>
      </c>
      <c r="AH119" s="3" t="e">
        <f t="shared" si="12"/>
        <v>#N/A</v>
      </c>
      <c r="AI119" s="3" t="e">
        <f>C119+(AB119*Assumptions!$B$15)</f>
        <v>#N/A</v>
      </c>
      <c r="AJ119" s="7" t="e">
        <f t="shared" si="13"/>
        <v>#N/A</v>
      </c>
      <c r="AK119" s="7" t="e">
        <f t="shared" si="14"/>
        <v>#N/A</v>
      </c>
      <c r="AL119" s="3" t="e">
        <f>IF(AND(AD119&gt;0,AK119  &gt; Assumptions!$B$13), "ENTER", "DONT ENTER")</f>
        <v>#N/A</v>
      </c>
    </row>
    <row r="120" spans="1:38" x14ac:dyDescent="0.3">
      <c r="A120" s="25">
        <v>45865</v>
      </c>
      <c r="B120" s="3" t="s">
        <v>27</v>
      </c>
      <c r="C120" s="3" t="e">
        <f>VLOOKUP(A120, Raw_Data_Adani!A:N, 8, FALSE)</f>
        <v>#N/A</v>
      </c>
      <c r="D120" s="3" t="e">
        <f>VLOOKUP(A120, Raw_Data_Adani!O:Y, 8, FALSE)</f>
        <v>#N/A</v>
      </c>
      <c r="E120" s="25">
        <f>Assumptions!$B$30</f>
        <v>45869</v>
      </c>
      <c r="F120" s="3">
        <f t="shared" si="15"/>
        <v>4</v>
      </c>
      <c r="G120" s="3" t="e">
        <f>C120*(1+(Assumptions!$B$19*F120/365))</f>
        <v>#N/A</v>
      </c>
      <c r="H120" s="3" t="e">
        <f t="shared" si="16"/>
        <v>#N/A</v>
      </c>
      <c r="I120" s="3" t="e">
        <f>(C120*Assumptions!$B$16)+(D120*Assumptions!$B$17)</f>
        <v>#N/A</v>
      </c>
      <c r="J120" s="3" t="e">
        <f t="shared" si="17"/>
        <v>#N/A</v>
      </c>
      <c r="K120" s="3" t="e">
        <f>C120+(D120*Assumptions!$B$15)</f>
        <v>#N/A</v>
      </c>
      <c r="L120" s="7" t="e">
        <f t="shared" si="18"/>
        <v>#N/A</v>
      </c>
      <c r="M120" s="7" t="e">
        <f t="shared" si="19"/>
        <v>#N/A</v>
      </c>
      <c r="N120" s="3" t="e">
        <f>IF(AND(F120&gt;0, M120 &gt; Assumptions!$B$13), "ENTER", "DONT ENTER")</f>
        <v>#N/A</v>
      </c>
      <c r="P120" s="3" t="e">
        <f>VLOOKUP(A120, Raw_Data_Adani!AB:AP, 8, FALSE)</f>
        <v>#N/A</v>
      </c>
      <c r="Q120" s="8">
        <f>Assumptions!$B$31</f>
        <v>45897</v>
      </c>
      <c r="R120" s="3">
        <f t="shared" si="20"/>
        <v>32</v>
      </c>
      <c r="S120" s="3" t="e">
        <f>C120*(1+(Assumptions!$B$19*R120/365))</f>
        <v>#N/A</v>
      </c>
      <c r="T120" s="26" t="e">
        <f t="shared" si="21"/>
        <v>#N/A</v>
      </c>
      <c r="U120" s="3" t="e">
        <f>(C120*Assumptions!$B$16)+(P120*Assumptions!$B$17)</f>
        <v>#N/A</v>
      </c>
      <c r="V120" s="3" t="e">
        <f t="shared" si="22"/>
        <v>#N/A</v>
      </c>
      <c r="W120" s="26" t="e">
        <f>C120+(P120*Assumptions!$B$15)</f>
        <v>#N/A</v>
      </c>
      <c r="X120" s="7" t="e">
        <f t="shared" si="23"/>
        <v>#N/A</v>
      </c>
      <c r="Y120" s="7" t="e">
        <f t="shared" si="24"/>
        <v>#N/A</v>
      </c>
      <c r="Z120" s="3" t="e">
        <f>IF(AND(R120&gt;0,Y120  &gt; Assumptions!$B$13), "ENTER", "DONT ENTER")</f>
        <v>#N/A</v>
      </c>
      <c r="AB120" s="3" t="e">
        <f>VLOOKUP(A120, Raw_Data_Adani!AQ:BE, 8, FALSE)</f>
        <v>#N/A</v>
      </c>
      <c r="AC120" s="25">
        <f>Assumptions!$B$32</f>
        <v>45930</v>
      </c>
      <c r="AD120" s="3">
        <f t="shared" si="10"/>
        <v>65</v>
      </c>
      <c r="AE120" s="3" t="e">
        <f>C120*(1+(Assumptions!$B$13*AD120/365))</f>
        <v>#N/A</v>
      </c>
      <c r="AF120" s="3" t="e">
        <f t="shared" si="11"/>
        <v>#N/A</v>
      </c>
      <c r="AG120" s="3" t="e">
        <f>(C120*Assumptions!$B$16)+(AB120*Assumptions!$B$17)</f>
        <v>#N/A</v>
      </c>
      <c r="AH120" s="3" t="e">
        <f t="shared" si="12"/>
        <v>#N/A</v>
      </c>
      <c r="AI120" s="3" t="e">
        <f>C120+(AB120*Assumptions!$B$15)</f>
        <v>#N/A</v>
      </c>
      <c r="AJ120" s="7" t="e">
        <f t="shared" si="13"/>
        <v>#N/A</v>
      </c>
      <c r="AK120" s="7" t="e">
        <f t="shared" si="14"/>
        <v>#N/A</v>
      </c>
      <c r="AL120" s="3" t="e">
        <f>IF(AND(AD120&gt;0,AK120  &gt; Assumptions!$B$13), "ENTER", "DONT ENTER")</f>
        <v>#N/A</v>
      </c>
    </row>
    <row r="121" spans="1:38" x14ac:dyDescent="0.3">
      <c r="A121" s="25">
        <v>45866</v>
      </c>
      <c r="B121" s="3" t="s">
        <v>27</v>
      </c>
      <c r="C121" s="26">
        <f>VLOOKUP(A121, Raw_Data_Adani!A:N, 8, FALSE)</f>
        <v>2522.3000000000002</v>
      </c>
      <c r="D121" s="26">
        <f>VLOOKUP(A121, Raw_Data_Adani!O:Y, 8, FALSE)</f>
        <v>2524.6999999999998</v>
      </c>
      <c r="E121" s="25">
        <f>Assumptions!$B$30</f>
        <v>45869</v>
      </c>
      <c r="F121" s="3">
        <f t="shared" si="15"/>
        <v>3</v>
      </c>
      <c r="G121" s="3">
        <f>C121*(1+(Assumptions!$B$19*F121/365))</f>
        <v>2522.4036561643834</v>
      </c>
      <c r="H121" s="26">
        <f t="shared" si="16"/>
        <v>2.2963438356164261</v>
      </c>
      <c r="I121" s="3">
        <f>(C121*Assumptions!$B$16)+(D121*Assumptions!$B$17)</f>
        <v>1.7660900000000002</v>
      </c>
      <c r="J121" s="26">
        <f t="shared" si="17"/>
        <v>0.53025383561642592</v>
      </c>
      <c r="K121" s="26">
        <f>C121+(D121*Assumptions!$B$15)</f>
        <v>3355.451</v>
      </c>
      <c r="L121" s="7">
        <f t="shared" si="18"/>
        <v>1.5802759021557041E-4</v>
      </c>
      <c r="M121" s="27">
        <f t="shared" si="19"/>
        <v>1.9226690142894402E-2</v>
      </c>
      <c r="N121" s="28" t="str">
        <f>IF(AND(F121&gt;0, M121 &gt; Assumptions!$B$13), "ENTER", "DONT ENTER")</f>
        <v>DONT ENTER</v>
      </c>
      <c r="P121" s="26">
        <f>VLOOKUP(A121, Raw_Data_Adani!AB:AP, 8, FALSE)</f>
        <v>2538.3000000000002</v>
      </c>
      <c r="Q121" s="8">
        <f>Assumptions!$B$31</f>
        <v>45897</v>
      </c>
      <c r="R121" s="3">
        <f t="shared" si="20"/>
        <v>31</v>
      </c>
      <c r="S121" s="3">
        <f>C121*(1+(Assumptions!$B$19*R121/365))</f>
        <v>2523.3711136986303</v>
      </c>
      <c r="T121" s="26">
        <f t="shared" si="21"/>
        <v>14.928886301369857</v>
      </c>
      <c r="U121" s="3">
        <f>(C121*Assumptions!$B$16)+(P121*Assumptions!$B$17)</f>
        <v>1.7688100000000002</v>
      </c>
      <c r="V121" s="26">
        <f t="shared" si="22"/>
        <v>13.160076301369857</v>
      </c>
      <c r="W121" s="26">
        <f>C121+(P121*Assumptions!$B$15)</f>
        <v>3359.9390000000003</v>
      </c>
      <c r="X121" s="7">
        <f t="shared" si="23"/>
        <v>3.9167604832617067E-3</v>
      </c>
      <c r="Y121" s="27">
        <f t="shared" si="24"/>
        <v>4.6116696012597512E-2</v>
      </c>
      <c r="Z121" s="28" t="str">
        <f>IF(AND(R121&gt;0,Y121  &gt; Assumptions!$B$13), "ENTER", "DONT ENTER")</f>
        <v>DONT ENTER</v>
      </c>
      <c r="AB121" s="40">
        <f>VLOOKUP(A121, Raw_Data_Adani!AQ:BE, 8, FALSE)</f>
        <v>2555</v>
      </c>
      <c r="AC121" s="25">
        <f>Assumptions!$B$32</f>
        <v>45930</v>
      </c>
      <c r="AD121" s="3">
        <f t="shared" si="10"/>
        <v>64</v>
      </c>
      <c r="AE121" s="3">
        <f>C121*(1+(Assumptions!$B$13*AD121/365))</f>
        <v>2550.8261764383565</v>
      </c>
      <c r="AF121" s="40">
        <f t="shared" si="11"/>
        <v>4.1738235616435304</v>
      </c>
      <c r="AG121" s="3">
        <f>(C121*Assumptions!$B$16)+(AB121*Assumptions!$B$17)</f>
        <v>1.7721500000000003</v>
      </c>
      <c r="AH121" s="40">
        <f t="shared" si="12"/>
        <v>2.4016735616435301</v>
      </c>
      <c r="AI121" s="26">
        <f>C121+(AB121*Assumptions!$B$15)</f>
        <v>3365.4500000000003</v>
      </c>
      <c r="AJ121" s="7">
        <f t="shared" si="13"/>
        <v>7.1362627929207978E-4</v>
      </c>
      <c r="AK121" s="27">
        <f t="shared" si="14"/>
        <v>4.0698998740876426E-3</v>
      </c>
      <c r="AL121" s="28" t="str">
        <f>IF(AND(AD121&gt;0,AK121  &gt; Assumptions!$B$13), "ENTER", "DONT ENTER")</f>
        <v>DONT ENTER</v>
      </c>
    </row>
    <row r="122" spans="1:38" x14ac:dyDescent="0.3">
      <c r="A122" s="25">
        <v>45867</v>
      </c>
      <c r="B122" s="3" t="s">
        <v>27</v>
      </c>
      <c r="C122" s="26">
        <f>VLOOKUP(A122, Raw_Data_Adani!A:N, 8, FALSE)</f>
        <v>2547.9</v>
      </c>
      <c r="D122" s="26">
        <f>VLOOKUP(A122, Raw_Data_Adani!O:Y, 8, FALSE)</f>
        <v>2552.4</v>
      </c>
      <c r="E122" s="25">
        <f>Assumptions!$B$30</f>
        <v>45869</v>
      </c>
      <c r="F122" s="3">
        <f t="shared" si="15"/>
        <v>2</v>
      </c>
      <c r="G122" s="3">
        <f>C122*(1+(Assumptions!$B$19*F122/365))</f>
        <v>2547.9698054794521</v>
      </c>
      <c r="H122" s="26">
        <f t="shared" si="16"/>
        <v>4.4301945205479569</v>
      </c>
      <c r="I122" s="3">
        <f>(C122*Assumptions!$B$16)+(D122*Assumptions!$B$17)</f>
        <v>1.7844300000000002</v>
      </c>
      <c r="J122" s="26">
        <f t="shared" si="17"/>
        <v>2.6457645205479565</v>
      </c>
      <c r="K122" s="26">
        <f>C122+(D122*Assumptions!$B$15)</f>
        <v>3390.192</v>
      </c>
      <c r="L122" s="7">
        <f t="shared" si="18"/>
        <v>7.8041730985972375E-4</v>
      </c>
      <c r="M122" s="29">
        <f t="shared" si="19"/>
        <v>0.14242615904939959</v>
      </c>
      <c r="N122" s="30" t="str">
        <f>IF(AND(F122&gt;0, M122 &gt; Assumptions!$B$13), "ENTER", "DONT ENTER")</f>
        <v>ENTER</v>
      </c>
      <c r="P122" s="26">
        <f>VLOOKUP(A122, Raw_Data_Adani!AB:AP, 8, FALSE)</f>
        <v>2565.8000000000002</v>
      </c>
      <c r="Q122" s="8">
        <f>Assumptions!$B$31</f>
        <v>45897</v>
      </c>
      <c r="R122" s="3">
        <f t="shared" si="20"/>
        <v>30</v>
      </c>
      <c r="S122" s="3">
        <f>C122*(1+(Assumptions!$B$19*R122/365))</f>
        <v>2548.9470821917812</v>
      </c>
      <c r="T122" s="26">
        <f t="shared" si="21"/>
        <v>16.85291780821899</v>
      </c>
      <c r="U122" s="3">
        <f>(C122*Assumptions!$B$16)+(P122*Assumptions!$B$17)</f>
        <v>1.7871100000000002</v>
      </c>
      <c r="V122" s="26">
        <f t="shared" si="22"/>
        <v>15.06580780821899</v>
      </c>
      <c r="W122" s="26">
        <f>C122+(P122*Assumptions!$B$15)</f>
        <v>3394.614</v>
      </c>
      <c r="X122" s="7">
        <f t="shared" si="23"/>
        <v>4.4381504961150189E-3</v>
      </c>
      <c r="Y122" s="27">
        <f t="shared" si="24"/>
        <v>5.3997497702732725E-2</v>
      </c>
      <c r="Z122" s="28" t="str">
        <f>IF(AND(R122&gt;0,Y122  &gt; Assumptions!$B$13), "ENTER", "DONT ENTER")</f>
        <v>DONT ENTER</v>
      </c>
      <c r="AB122" s="40">
        <f>VLOOKUP(A122, Raw_Data_Adani!AQ:BE, 8, FALSE)</f>
        <v>2578</v>
      </c>
      <c r="AC122" s="25">
        <f>Assumptions!$B$32</f>
        <v>45930</v>
      </c>
      <c r="AD122" s="3">
        <f t="shared" si="10"/>
        <v>63</v>
      </c>
      <c r="AE122" s="3">
        <f>C122*(1+(Assumptions!$B$13*AD122/365))</f>
        <v>2576.2654565753428</v>
      </c>
      <c r="AF122" s="40">
        <f t="shared" si="11"/>
        <v>1.734543424657204</v>
      </c>
      <c r="AG122" s="3">
        <f>(C122*Assumptions!$B$16)+(AB122*Assumptions!$B$17)</f>
        <v>1.7895500000000002</v>
      </c>
      <c r="AH122" s="40">
        <f t="shared" si="12"/>
        <v>-5.5006575342796182E-2</v>
      </c>
      <c r="AI122" s="26">
        <f>C122+(AB122*Assumptions!$B$15)</f>
        <v>3398.6400000000003</v>
      </c>
      <c r="AJ122" s="7">
        <f t="shared" si="13"/>
        <v>-1.61848784639727E-5</v>
      </c>
      <c r="AK122" s="27">
        <f t="shared" si="14"/>
        <v>-9.3769533957937073E-5</v>
      </c>
      <c r="AL122" s="28" t="str">
        <f>IF(AND(AD122&gt;0,AK122  &gt; Assumptions!$B$13), "ENTER", "DONT ENTER")</f>
        <v>DONT ENTER</v>
      </c>
    </row>
    <row r="123" spans="1:38" x14ac:dyDescent="0.3">
      <c r="A123" s="25">
        <v>45868</v>
      </c>
      <c r="B123" s="3" t="s">
        <v>27</v>
      </c>
      <c r="C123" s="26">
        <f>VLOOKUP(A123, Raw_Data_Adani!A:N, 8, FALSE)</f>
        <v>2532.9</v>
      </c>
      <c r="D123" s="26">
        <f>VLOOKUP(A123, Raw_Data_Adani!O:Y, 8, FALSE)</f>
        <v>2531.9</v>
      </c>
      <c r="E123" s="25">
        <f>Assumptions!$B$30</f>
        <v>45869</v>
      </c>
      <c r="F123" s="3">
        <f t="shared" si="15"/>
        <v>1</v>
      </c>
      <c r="G123" s="3">
        <f>C123*(1+(Assumptions!$B$19*F123/365))</f>
        <v>2532.9346972602739</v>
      </c>
      <c r="H123" s="26">
        <f t="shared" si="16"/>
        <v>-1.0346972602737878</v>
      </c>
      <c r="I123" s="3">
        <f>(C123*Assumptions!$B$16)+(D123*Assumptions!$B$17)</f>
        <v>1.7728300000000001</v>
      </c>
      <c r="J123" s="26">
        <f t="shared" si="17"/>
        <v>-2.8075272602737877</v>
      </c>
      <c r="K123" s="26">
        <f>C123+(D123*Assumptions!$B$15)</f>
        <v>3368.4270000000001</v>
      </c>
      <c r="L123" s="7">
        <f t="shared" si="18"/>
        <v>-8.3348318377503435E-4</v>
      </c>
      <c r="M123" s="27">
        <f t="shared" si="19"/>
        <v>-0.30422136207788752</v>
      </c>
      <c r="N123" s="28" t="str">
        <f>IF(AND(F123&gt;0, M123 &gt; Assumptions!$B$13), "ENTER", "DONT ENTER")</f>
        <v>DONT ENTER</v>
      </c>
      <c r="P123" s="26">
        <f>VLOOKUP(A123, Raw_Data_Adani!AB:AP, 8, FALSE)</f>
        <v>2544.6999999999998</v>
      </c>
      <c r="Q123" s="8">
        <f>Assumptions!$B$31</f>
        <v>45897</v>
      </c>
      <c r="R123" s="3">
        <f t="shared" si="20"/>
        <v>29</v>
      </c>
      <c r="S123" s="3">
        <f>C123*(1+(Assumptions!$B$19*R123/365))</f>
        <v>2533.9062205479454</v>
      </c>
      <c r="T123" s="26">
        <f t="shared" si="21"/>
        <v>10.793779452054423</v>
      </c>
      <c r="U123" s="3">
        <f>(C123*Assumptions!$B$16)+(P123*Assumptions!$B$17)</f>
        <v>1.77539</v>
      </c>
      <c r="V123" s="26">
        <f t="shared" si="22"/>
        <v>9.0183894520544232</v>
      </c>
      <c r="W123" s="26">
        <f>C123+(P123*Assumptions!$B$15)</f>
        <v>3372.6509999999998</v>
      </c>
      <c r="X123" s="7">
        <f t="shared" si="23"/>
        <v>2.6739764808319699E-3</v>
      </c>
      <c r="Y123" s="27">
        <f t="shared" si="24"/>
        <v>3.3655221224264446E-2</v>
      </c>
      <c r="Z123" s="28" t="str">
        <f>IF(AND(R123&gt;0,Y123  &gt; Assumptions!$B$13), "ENTER", "DONT ENTER")</f>
        <v>DONT ENTER</v>
      </c>
      <c r="AB123" s="40">
        <f>VLOOKUP(A123, Raw_Data_Adani!AQ:BE, 8, FALSE)</f>
        <v>2562.6999999999998</v>
      </c>
      <c r="AC123" s="25">
        <f>Assumptions!$B$32</f>
        <v>45930</v>
      </c>
      <c r="AD123" s="3">
        <f t="shared" si="10"/>
        <v>62</v>
      </c>
      <c r="AE123" s="3">
        <f>C123*(1+(Assumptions!$B$13*AD123/365))</f>
        <v>2560.6508687671235</v>
      </c>
      <c r="AF123" s="40">
        <f t="shared" si="11"/>
        <v>2.0491312328763343</v>
      </c>
      <c r="AG123" s="3">
        <f>(C123*Assumptions!$B$16)+(AB123*Assumptions!$B$17)</f>
        <v>1.7789900000000001</v>
      </c>
      <c r="AH123" s="40">
        <f t="shared" si="12"/>
        <v>0.27014123287633418</v>
      </c>
      <c r="AI123" s="26">
        <f>C123+(AB123*Assumptions!$B$15)</f>
        <v>3378.5910000000003</v>
      </c>
      <c r="AJ123" s="7">
        <f t="shared" si="13"/>
        <v>7.9956772771943731E-5</v>
      </c>
      <c r="AK123" s="27">
        <f t="shared" si="14"/>
        <v>4.7071325906063643E-4</v>
      </c>
      <c r="AL123" s="28" t="str">
        <f>IF(AND(AD123&gt;0,AK123  &gt; Assumptions!$B$13), "ENTER", "DONT ENTER")</f>
        <v>DONT ENTER</v>
      </c>
    </row>
    <row r="124" spans="1:38" x14ac:dyDescent="0.3">
      <c r="A124" s="25">
        <v>45869</v>
      </c>
      <c r="B124" s="3" t="s">
        <v>27</v>
      </c>
      <c r="C124" s="26">
        <f>VLOOKUP(A124, Raw_Data_Adani!A:N, 8, FALSE)</f>
        <v>2430.6999999999998</v>
      </c>
      <c r="D124" s="26">
        <f>VLOOKUP(A124, Raw_Data_Adani!O:Y, 8, FALSE)</f>
        <v>2430.6999999999998</v>
      </c>
      <c r="E124" s="25">
        <f>Assumptions!$B$30</f>
        <v>45869</v>
      </c>
      <c r="F124" s="3">
        <f t="shared" si="15"/>
        <v>0</v>
      </c>
      <c r="G124" s="3">
        <f>C124*(1+(Assumptions!$B$19*F124/365))</f>
        <v>2430.6999999999998</v>
      </c>
      <c r="H124" s="26">
        <f t="shared" si="16"/>
        <v>0</v>
      </c>
      <c r="I124" s="3">
        <f>(C124*Assumptions!$B$16)+(D124*Assumptions!$B$17)</f>
        <v>1.7014899999999999</v>
      </c>
      <c r="J124" s="26">
        <f t="shared" si="17"/>
        <v>-1.7014899999999999</v>
      </c>
      <c r="K124" s="26">
        <f>C124+(D124*Assumptions!$B$15)</f>
        <v>3232.8309999999997</v>
      </c>
      <c r="L124" s="7">
        <f t="shared" si="18"/>
        <v>-5.263157894736842E-4</v>
      </c>
      <c r="M124" s="7" t="e">
        <f t="shared" si="19"/>
        <v>#DIV/0!</v>
      </c>
      <c r="N124" s="3" t="e">
        <f>IF(AND(F124&gt;0, M124 &gt; Assumptions!$B$13), "ENTER", "DONT ENTER")</f>
        <v>#DIV/0!</v>
      </c>
      <c r="P124" s="26">
        <f>VLOOKUP(A124, Raw_Data_Adani!AB:AP, 8, FALSE)</f>
        <v>2440.1</v>
      </c>
      <c r="Q124" s="8">
        <f>Assumptions!$B$31</f>
        <v>45897</v>
      </c>
      <c r="R124" s="3">
        <f t="shared" si="20"/>
        <v>28</v>
      </c>
      <c r="S124" s="3">
        <f>C124*(1+(Assumptions!$B$19*R124/365))</f>
        <v>2431.6323232876712</v>
      </c>
      <c r="T124" s="26">
        <f t="shared" si="21"/>
        <v>8.4676767123287391</v>
      </c>
      <c r="U124" s="3">
        <f>(C124*Assumptions!$B$16)+(P124*Assumptions!$B$17)</f>
        <v>1.7033700000000001</v>
      </c>
      <c r="V124" s="26">
        <f t="shared" si="22"/>
        <v>6.7643067123287395</v>
      </c>
      <c r="W124" s="26">
        <f>C124+(P124*Assumptions!$B$15)</f>
        <v>3235.933</v>
      </c>
      <c r="X124" s="7">
        <f t="shared" si="23"/>
        <v>2.0903729194420091E-3</v>
      </c>
      <c r="Y124" s="27">
        <f t="shared" si="24"/>
        <v>2.7249504128440478E-2</v>
      </c>
      <c r="Z124" s="28" t="str">
        <f>IF(AND(R124&gt;0,Y124  &gt; Assumptions!$B$13), "ENTER", "DONT ENTER")</f>
        <v>DONT ENTER</v>
      </c>
      <c r="AB124" s="40">
        <f>VLOOKUP(A124, Raw_Data_Adani!AQ:BE, 8, FALSE)</f>
        <v>2454.6999999999998</v>
      </c>
      <c r="AC124" s="25">
        <f>Assumptions!$B$32</f>
        <v>45930</v>
      </c>
      <c r="AD124" s="3">
        <f t="shared" si="10"/>
        <v>61</v>
      </c>
      <c r="AE124" s="3">
        <f>C124*(1+(Assumptions!$B$13*AD124/365))</f>
        <v>2456.901614109589</v>
      </c>
      <c r="AF124" s="40">
        <f t="shared" si="11"/>
        <v>-2.2016141095891726</v>
      </c>
      <c r="AG124" s="3">
        <f>(C124*Assumptions!$B$16)+(AB124*Assumptions!$B$17)</f>
        <v>1.7062899999999999</v>
      </c>
      <c r="AH124" s="40">
        <f t="shared" si="12"/>
        <v>-3.9079041095891727</v>
      </c>
      <c r="AI124" s="26">
        <f>C124+(AB124*Assumptions!$B$15)</f>
        <v>3240.7509999999997</v>
      </c>
      <c r="AJ124" s="7">
        <f t="shared" si="13"/>
        <v>-1.2058637363960307E-3</v>
      </c>
      <c r="AK124" s="27">
        <f t="shared" si="14"/>
        <v>-7.2154141604024793E-3</v>
      </c>
      <c r="AL124" s="28" t="str">
        <f>IF(AND(AD124&gt;0,AK124  &gt; Assumptions!$B$13), "ENTER", "DONT ENTER")</f>
        <v>DONT ENTER</v>
      </c>
    </row>
    <row r="125" spans="1:38" x14ac:dyDescent="0.3">
      <c r="A125" s="25">
        <v>45870</v>
      </c>
      <c r="B125" s="3" t="s">
        <v>27</v>
      </c>
      <c r="C125" s="26">
        <f>VLOOKUP(A125, Raw_Data_Adani!A:N, 8, FALSE)</f>
        <v>2350.9</v>
      </c>
      <c r="L125" s="37"/>
      <c r="P125" s="26">
        <f>VLOOKUP(A125, Raw_Data_Adani!AB:AP, 8, FALSE)</f>
        <v>2356.4</v>
      </c>
      <c r="Q125" s="8">
        <f>Assumptions!$B$31</f>
        <v>45897</v>
      </c>
      <c r="R125" s="3">
        <f t="shared" si="20"/>
        <v>27</v>
      </c>
      <c r="S125" s="3">
        <f>C125*(1+(Assumptions!$B$19*R125/365))</f>
        <v>2351.769510958904</v>
      </c>
      <c r="T125" s="26">
        <f t="shared" si="21"/>
        <v>4.6304890410960979</v>
      </c>
      <c r="U125" s="3">
        <f>(C125*Assumptions!$B$16)+(P125*Assumptions!$B$17)</f>
        <v>1.6467300000000002</v>
      </c>
      <c r="V125" s="26">
        <f t="shared" si="22"/>
        <v>2.9837590410960977</v>
      </c>
      <c r="W125" s="26">
        <f>C125+(P125*Assumptions!$B$15)</f>
        <v>3128.5120000000002</v>
      </c>
      <c r="X125" s="7">
        <f t="shared" si="23"/>
        <v>9.5373105204522076E-4</v>
      </c>
      <c r="Y125" s="27">
        <f t="shared" si="24"/>
        <v>1.2893030888759467E-2</v>
      </c>
      <c r="Z125" s="28" t="str">
        <f>IF(AND(R125&gt;0,Y125  &gt; Assumptions!$B$13), "ENTER", "DONT ENTER")</f>
        <v>DONT ENTER</v>
      </c>
      <c r="AB125" s="40">
        <f>VLOOKUP(A125, Raw_Data_Adani!AQ:BE, 8, FALSE)</f>
        <v>2369.1999999999998</v>
      </c>
      <c r="AC125" s="25">
        <f>Assumptions!$B$32</f>
        <v>45930</v>
      </c>
      <c r="AD125" s="3">
        <f t="shared" si="10"/>
        <v>60</v>
      </c>
      <c r="AE125" s="3">
        <f>C125*(1+(Assumptions!$B$13*AD125/365))</f>
        <v>2375.8259808219177</v>
      </c>
      <c r="AF125" s="40">
        <f t="shared" si="11"/>
        <v>-6.6259808219178922</v>
      </c>
      <c r="AG125" s="3">
        <f>(C125*Assumptions!$B$16)+(AB125*Assumptions!$B$17)</f>
        <v>1.6492900000000001</v>
      </c>
      <c r="AH125" s="40">
        <f t="shared" si="12"/>
        <v>-8.2752708219178928</v>
      </c>
      <c r="AI125" s="26">
        <f>C125+(AB125*Assumptions!$B$15)</f>
        <v>3132.7359999999999</v>
      </c>
      <c r="AJ125" s="7">
        <f t="shared" si="13"/>
        <v>-2.6415474594469156E-3</v>
      </c>
      <c r="AK125" s="27">
        <f t="shared" si="14"/>
        <v>-1.6069413711635401E-2</v>
      </c>
      <c r="AL125" s="28" t="str">
        <f>IF(AND(AD125&gt;0,AK125  &gt; Assumptions!$B$13), "ENTER", "DONT ENTER")</f>
        <v>DONT ENTER</v>
      </c>
    </row>
    <row r="126" spans="1:38" x14ac:dyDescent="0.3">
      <c r="A126" s="25">
        <v>45871</v>
      </c>
      <c r="B126" s="3" t="s">
        <v>27</v>
      </c>
      <c r="C126" s="3" t="e">
        <f>VLOOKUP(A126, Raw_Data_Adani!A:N, 8, FALSE)</f>
        <v>#N/A</v>
      </c>
      <c r="L126" s="37"/>
      <c r="P126" s="3" t="e">
        <f>VLOOKUP(A126, Raw_Data_Adani!AB:AP, 8, FALSE)</f>
        <v>#N/A</v>
      </c>
      <c r="Q126" s="8">
        <f>Assumptions!$B$31</f>
        <v>45897</v>
      </c>
      <c r="R126" s="3">
        <f t="shared" si="20"/>
        <v>26</v>
      </c>
      <c r="S126" s="3" t="e">
        <f>C126*(1+(Assumptions!$B$19*R126/365))</f>
        <v>#N/A</v>
      </c>
      <c r="T126" s="26" t="e">
        <f t="shared" si="21"/>
        <v>#N/A</v>
      </c>
      <c r="U126" s="3" t="e">
        <f>(C126*Assumptions!$B$16)+(P126*Assumptions!$B$17)</f>
        <v>#N/A</v>
      </c>
      <c r="V126" s="3" t="e">
        <f t="shared" si="22"/>
        <v>#N/A</v>
      </c>
      <c r="W126" s="26" t="e">
        <f>C126+(P126*Assumptions!$B$15)</f>
        <v>#N/A</v>
      </c>
      <c r="X126" s="7" t="e">
        <f t="shared" si="23"/>
        <v>#N/A</v>
      </c>
      <c r="Y126" s="7" t="e">
        <f t="shared" si="24"/>
        <v>#N/A</v>
      </c>
      <c r="Z126" s="3" t="e">
        <f>IF(AND(R126&gt;0,Y126  &gt; Assumptions!$B$13), "ENTER", "DONT ENTER")</f>
        <v>#N/A</v>
      </c>
      <c r="AB126" s="3" t="e">
        <f>VLOOKUP(A126, Raw_Data_Adani!AQ:BE, 8, FALSE)</f>
        <v>#N/A</v>
      </c>
      <c r="AC126" s="25">
        <f>Assumptions!$B$32</f>
        <v>45930</v>
      </c>
      <c r="AD126" s="3">
        <f t="shared" si="10"/>
        <v>59</v>
      </c>
      <c r="AE126" s="3" t="e">
        <f>C126*(1+(Assumptions!$B$13*AD126/365))</f>
        <v>#N/A</v>
      </c>
      <c r="AF126" s="3" t="e">
        <f t="shared" si="11"/>
        <v>#N/A</v>
      </c>
      <c r="AG126" s="3" t="e">
        <f>(C126*Assumptions!$B$16)+(AB126*Assumptions!$B$17)</f>
        <v>#N/A</v>
      </c>
      <c r="AH126" s="3" t="e">
        <f t="shared" si="12"/>
        <v>#N/A</v>
      </c>
      <c r="AI126" s="3" t="e">
        <f>C126+(AB126*Assumptions!$B$15)</f>
        <v>#N/A</v>
      </c>
      <c r="AJ126" s="7" t="e">
        <f t="shared" si="13"/>
        <v>#N/A</v>
      </c>
      <c r="AK126" s="7" t="e">
        <f t="shared" si="14"/>
        <v>#N/A</v>
      </c>
      <c r="AL126" s="3" t="e">
        <f>IF(AND(AD126&gt;0,AK126  &gt; Assumptions!$B$13), "ENTER", "DONT ENTER")</f>
        <v>#N/A</v>
      </c>
    </row>
    <row r="127" spans="1:38" x14ac:dyDescent="0.3">
      <c r="A127" s="25">
        <v>45872</v>
      </c>
      <c r="B127" s="3" t="s">
        <v>27</v>
      </c>
      <c r="C127" s="3" t="e">
        <f>VLOOKUP(A127, Raw_Data_Adani!A:N, 8, FALSE)</f>
        <v>#N/A</v>
      </c>
      <c r="L127" s="37"/>
      <c r="P127" s="3" t="e">
        <f>VLOOKUP(A127, Raw_Data_Adani!AB:AP, 8, FALSE)</f>
        <v>#N/A</v>
      </c>
      <c r="Q127" s="8">
        <f>Assumptions!$B$31</f>
        <v>45897</v>
      </c>
      <c r="R127" s="3">
        <f t="shared" si="20"/>
        <v>25</v>
      </c>
      <c r="S127" s="3" t="e">
        <f>C127*(1+(Assumptions!$B$19*R127/365))</f>
        <v>#N/A</v>
      </c>
      <c r="T127" s="26" t="e">
        <f t="shared" si="21"/>
        <v>#N/A</v>
      </c>
      <c r="U127" s="3" t="e">
        <f>(C127*Assumptions!$B$16)+(P127*Assumptions!$B$17)</f>
        <v>#N/A</v>
      </c>
      <c r="V127" s="3" t="e">
        <f t="shared" si="22"/>
        <v>#N/A</v>
      </c>
      <c r="W127" s="26" t="e">
        <f>C127+(P127*Assumptions!$B$15)</f>
        <v>#N/A</v>
      </c>
      <c r="X127" s="7" t="e">
        <f t="shared" si="23"/>
        <v>#N/A</v>
      </c>
      <c r="Y127" s="7" t="e">
        <f t="shared" si="24"/>
        <v>#N/A</v>
      </c>
      <c r="Z127" s="3" t="e">
        <f>IF(AND(R127&gt;0,Y127  &gt; Assumptions!$B$13), "ENTER", "DONT ENTER")</f>
        <v>#N/A</v>
      </c>
      <c r="AB127" s="3" t="e">
        <f>VLOOKUP(A127, Raw_Data_Adani!AQ:BE, 8, FALSE)</f>
        <v>#N/A</v>
      </c>
      <c r="AC127" s="25">
        <f>Assumptions!$B$32</f>
        <v>45930</v>
      </c>
      <c r="AD127" s="3">
        <f t="shared" si="10"/>
        <v>58</v>
      </c>
      <c r="AE127" s="3" t="e">
        <f>C127*(1+(Assumptions!$B$13*AD127/365))</f>
        <v>#N/A</v>
      </c>
      <c r="AF127" s="3" t="e">
        <f t="shared" si="11"/>
        <v>#N/A</v>
      </c>
      <c r="AG127" s="3" t="e">
        <f>(C127*Assumptions!$B$16)+(AB127*Assumptions!$B$17)</f>
        <v>#N/A</v>
      </c>
      <c r="AH127" s="3" t="e">
        <f t="shared" si="12"/>
        <v>#N/A</v>
      </c>
      <c r="AI127" s="3" t="e">
        <f>C127+(AB127*Assumptions!$B$15)</f>
        <v>#N/A</v>
      </c>
      <c r="AJ127" s="7" t="e">
        <f t="shared" si="13"/>
        <v>#N/A</v>
      </c>
      <c r="AK127" s="7" t="e">
        <f t="shared" si="14"/>
        <v>#N/A</v>
      </c>
      <c r="AL127" s="3" t="e">
        <f>IF(AND(AD127&gt;0,AK127  &gt; Assumptions!$B$13), "ENTER", "DONT ENTER")</f>
        <v>#N/A</v>
      </c>
    </row>
    <row r="128" spans="1:38" x14ac:dyDescent="0.3">
      <c r="A128" s="25">
        <v>45873</v>
      </c>
      <c r="B128" s="3" t="s">
        <v>27</v>
      </c>
      <c r="C128" s="26">
        <f>VLOOKUP(A128, Raw_Data_Adani!A:N, 8, FALSE)</f>
        <v>2363.6</v>
      </c>
      <c r="L128" s="37"/>
      <c r="P128" s="40">
        <f>VLOOKUP(A128, Raw_Data_Adani!AB:AP, 8, FALSE)</f>
        <v>2372.1</v>
      </c>
      <c r="Q128" s="8">
        <f>Assumptions!$B$31</f>
        <v>45897</v>
      </c>
      <c r="R128" s="3">
        <f t="shared" si="20"/>
        <v>24</v>
      </c>
      <c r="S128" s="3">
        <f>C128*(1+(Assumptions!$B$19*R128/365))</f>
        <v>2364.3770739726028</v>
      </c>
      <c r="T128" s="26">
        <f t="shared" si="21"/>
        <v>7.7229260273970795</v>
      </c>
      <c r="U128" s="3">
        <f>(C128*Assumptions!$B$16)+(P128*Assumptions!$B$17)</f>
        <v>1.65622</v>
      </c>
      <c r="V128" s="26">
        <f t="shared" si="22"/>
        <v>6.0667060273970792</v>
      </c>
      <c r="W128" s="26">
        <f>C128+(P128*Assumptions!$B$15)</f>
        <v>3146.393</v>
      </c>
      <c r="X128" s="7">
        <f t="shared" si="23"/>
        <v>1.9281463019391028E-3</v>
      </c>
      <c r="Y128" s="27">
        <f t="shared" si="24"/>
        <v>2.9323891675323857E-2</v>
      </c>
      <c r="Z128" s="28" t="str">
        <f>IF(AND(R128&gt;0,Y128  &gt; Assumptions!$B$13), "ENTER", "DONT ENTER")</f>
        <v>DONT ENTER</v>
      </c>
      <c r="AB128" s="40">
        <f>VLOOKUP(A128, Raw_Data_Adani!AQ:BE, 8, FALSE)</f>
        <v>2385.6999999999998</v>
      </c>
      <c r="AC128" s="25">
        <f>Assumptions!$B$32</f>
        <v>45930</v>
      </c>
      <c r="AD128" s="3">
        <f t="shared" si="10"/>
        <v>57</v>
      </c>
      <c r="AE128" s="3">
        <f>C128*(1+(Assumptions!$B$13*AD128/365))</f>
        <v>2387.4076038356161</v>
      </c>
      <c r="AF128" s="40">
        <f t="shared" si="11"/>
        <v>-1.7076038356162826</v>
      </c>
      <c r="AG128" s="3">
        <f>(C128*Assumptions!$B$16)+(AB128*Assumptions!$B$17)</f>
        <v>1.6589399999999999</v>
      </c>
      <c r="AH128" s="40">
        <f t="shared" si="12"/>
        <v>-3.3665438356162825</v>
      </c>
      <c r="AI128" s="26">
        <f>C128+(AB128*Assumptions!$B$15)</f>
        <v>3150.8809999999999</v>
      </c>
      <c r="AJ128" s="7">
        <f t="shared" si="13"/>
        <v>-1.0684452493179789E-3</v>
      </c>
      <c r="AK128" s="27">
        <f t="shared" si="14"/>
        <v>-6.8417985263344262E-3</v>
      </c>
      <c r="AL128" s="28" t="str">
        <f>IF(AND(AD128&gt;0,AK128  &gt; Assumptions!$B$13), "ENTER", "DONT ENTER")</f>
        <v>DONT ENTER</v>
      </c>
    </row>
    <row r="129" spans="1:38" x14ac:dyDescent="0.3">
      <c r="A129" s="25">
        <v>45874</v>
      </c>
      <c r="B129" s="3" t="s">
        <v>27</v>
      </c>
      <c r="C129" s="26">
        <f>VLOOKUP(A129, Raw_Data_Adani!A:N, 8, FALSE)</f>
        <v>2328.1999999999998</v>
      </c>
      <c r="L129" s="37"/>
      <c r="P129" s="40">
        <f>VLOOKUP(A129, Raw_Data_Adani!AB:AP, 8, FALSE)</f>
        <v>2333</v>
      </c>
      <c r="Q129" s="8">
        <f>Assumptions!$B$31</f>
        <v>45897</v>
      </c>
      <c r="R129" s="3">
        <f t="shared" si="20"/>
        <v>23</v>
      </c>
      <c r="S129" s="3">
        <f>C129*(1+(Assumptions!$B$19*R129/365))</f>
        <v>2328.9335424657534</v>
      </c>
      <c r="T129" s="26">
        <f t="shared" si="21"/>
        <v>4.0664575342466378</v>
      </c>
      <c r="U129" s="3">
        <f>(C129*Assumptions!$B$16)+(P129*Assumptions!$B$17)</f>
        <v>1.6307</v>
      </c>
      <c r="V129" s="26">
        <f t="shared" si="22"/>
        <v>2.4357575342466378</v>
      </c>
      <c r="W129" s="26">
        <f>C129+(P129*Assumptions!$B$15)</f>
        <v>3098.0899999999997</v>
      </c>
      <c r="X129" s="7">
        <f t="shared" si="23"/>
        <v>7.8621264529004579E-4</v>
      </c>
      <c r="Y129" s="27">
        <f t="shared" si="24"/>
        <v>1.2476852849168118E-2</v>
      </c>
      <c r="Z129" s="28" t="str">
        <f>IF(AND(R129&gt;0,Y129  &gt; Assumptions!$B$13), "ENTER", "DONT ENTER")</f>
        <v>DONT ENTER</v>
      </c>
      <c r="AB129" s="40">
        <f>VLOOKUP(A129, Raw_Data_Adani!AQ:BE, 8, FALSE)</f>
        <v>2350.1999999999998</v>
      </c>
      <c r="AC129" s="25">
        <f>Assumptions!$B$32</f>
        <v>45930</v>
      </c>
      <c r="AD129" s="3">
        <f t="shared" si="10"/>
        <v>56</v>
      </c>
      <c r="AE129" s="3">
        <f>C129*(1+(Assumptions!$B$13*AD129/365))</f>
        <v>2351.2396120547946</v>
      </c>
      <c r="AF129" s="40">
        <f t="shared" si="11"/>
        <v>-1.0396120547948158</v>
      </c>
      <c r="AG129" s="3">
        <f>(C129*Assumptions!$B$16)+(AB129*Assumptions!$B$17)</f>
        <v>1.6341399999999999</v>
      </c>
      <c r="AH129" s="40">
        <f t="shared" si="12"/>
        <v>-2.6737520547948157</v>
      </c>
      <c r="AI129" s="26">
        <f>C129+(AB129*Assumptions!$B$15)</f>
        <v>3103.7659999999996</v>
      </c>
      <c r="AJ129" s="7">
        <f t="shared" si="13"/>
        <v>-8.6145413500721894E-4</v>
      </c>
      <c r="AK129" s="27">
        <f t="shared" si="14"/>
        <v>-5.6148349871006234E-3</v>
      </c>
      <c r="AL129" s="28" t="str">
        <f>IF(AND(AD129&gt;0,AK129  &gt; Assumptions!$B$13), "ENTER", "DONT ENTER")</f>
        <v>DONT ENTER</v>
      </c>
    </row>
    <row r="130" spans="1:38" x14ac:dyDescent="0.3">
      <c r="A130" s="25">
        <v>45875</v>
      </c>
      <c r="B130" s="3" t="s">
        <v>27</v>
      </c>
      <c r="C130" s="26">
        <f>VLOOKUP(A130, Raw_Data_Adani!A:N, 8, FALSE)</f>
        <v>2300.3000000000002</v>
      </c>
      <c r="L130" s="37"/>
      <c r="P130" s="26">
        <f>VLOOKUP(A130, Raw_Data_Adani!AB:AP, 8, FALSE)</f>
        <v>2304.6</v>
      </c>
      <c r="Q130" s="8">
        <f>Assumptions!$B$31</f>
        <v>45897</v>
      </c>
      <c r="R130" s="3">
        <f t="shared" si="20"/>
        <v>22</v>
      </c>
      <c r="S130" s="3">
        <f>C130*(1+(Assumptions!$B$19*R130/365))</f>
        <v>2300.9932410958904</v>
      </c>
      <c r="T130" s="26">
        <f t="shared" si="21"/>
        <v>3.6067589041094834</v>
      </c>
      <c r="U130" s="3">
        <f>(C130*Assumptions!$B$16)+(P130*Assumptions!$B$17)</f>
        <v>1.61107</v>
      </c>
      <c r="V130" s="26">
        <f t="shared" si="22"/>
        <v>1.9956889041094834</v>
      </c>
      <c r="W130" s="26">
        <f>C130+(P130*Assumptions!$B$15)</f>
        <v>3060.8180000000002</v>
      </c>
      <c r="X130" s="7">
        <f t="shared" si="23"/>
        <v>6.5201162045880649E-4</v>
      </c>
      <c r="Y130" s="27">
        <f t="shared" si="24"/>
        <v>1.081746552124838E-2</v>
      </c>
      <c r="Z130" s="28" t="str">
        <f>IF(AND(R130&gt;0,Y130  &gt; Assumptions!$B$13), "ENTER", "DONT ENTER")</f>
        <v>DONT ENTER</v>
      </c>
      <c r="AB130" s="40">
        <f>VLOOKUP(A130, Raw_Data_Adani!AQ:BE, 8, FALSE)</f>
        <v>2318.3000000000002</v>
      </c>
      <c r="AC130" s="25">
        <f>Assumptions!$B$32</f>
        <v>45930</v>
      </c>
      <c r="AD130" s="3">
        <f t="shared" si="10"/>
        <v>55</v>
      </c>
      <c r="AE130" s="3">
        <f>C130*(1+(Assumptions!$B$13*AD130/365))</f>
        <v>2322.6570253424657</v>
      </c>
      <c r="AF130" s="40">
        <f t="shared" si="11"/>
        <v>-4.3570253424654766</v>
      </c>
      <c r="AG130" s="3">
        <f>(C130*Assumptions!$B$16)+(AB130*Assumptions!$B$17)</f>
        <v>1.61381</v>
      </c>
      <c r="AH130" s="40">
        <f t="shared" si="12"/>
        <v>-5.9708353424654765</v>
      </c>
      <c r="AI130" s="26">
        <f>C130+(AB130*Assumptions!$B$15)</f>
        <v>3065.3390000000004</v>
      </c>
      <c r="AJ130" s="7">
        <f t="shared" si="13"/>
        <v>-1.9478548188195418E-3</v>
      </c>
      <c r="AK130" s="27">
        <f t="shared" si="14"/>
        <v>-1.2926672888529687E-2</v>
      </c>
      <c r="AL130" s="28" t="str">
        <f>IF(AND(AD130&gt;0,AK130  &gt; Assumptions!$B$13), "ENTER", "DONT ENTER")</f>
        <v>DONT ENTER</v>
      </c>
    </row>
    <row r="131" spans="1:38" x14ac:dyDescent="0.3">
      <c r="A131" s="25">
        <v>45876</v>
      </c>
      <c r="B131" s="3" t="s">
        <v>27</v>
      </c>
      <c r="C131" s="26">
        <f>VLOOKUP(A131, Raw_Data_Adani!A:N, 8, FALSE)</f>
        <v>2249.8000000000002</v>
      </c>
      <c r="L131" s="37"/>
      <c r="P131" s="40">
        <f>VLOOKUP(A131, Raw_Data_Adani!AB:AP, 8, FALSE)</f>
        <v>2258.6999999999998</v>
      </c>
      <c r="Q131" s="8">
        <f>Assumptions!$B$31</f>
        <v>45897</v>
      </c>
      <c r="R131" s="3">
        <f t="shared" si="20"/>
        <v>21</v>
      </c>
      <c r="S131" s="3">
        <f>C131*(1+(Assumptions!$B$19*R131/365))</f>
        <v>2250.4472027397264</v>
      </c>
      <c r="T131" s="26">
        <f t="shared" si="21"/>
        <v>8.2527972602733826</v>
      </c>
      <c r="U131" s="3">
        <f>(C131*Assumptions!$B$16)+(P131*Assumptions!$B$17)</f>
        <v>1.57664</v>
      </c>
      <c r="V131" s="26">
        <f t="shared" si="22"/>
        <v>6.6761572602733823</v>
      </c>
      <c r="W131" s="26">
        <f>C131+(P131*Assumptions!$B$15)</f>
        <v>2995.1710000000003</v>
      </c>
      <c r="X131" s="7">
        <f t="shared" si="23"/>
        <v>2.2289736580226576E-3</v>
      </c>
      <c r="Y131" s="27">
        <f t="shared" si="24"/>
        <v>3.8741685008489048E-2</v>
      </c>
      <c r="Z131" s="28" t="str">
        <f>IF(AND(R131&gt;0,Y131  &gt; Assumptions!$B$13), "ENTER", "DONT ENTER")</f>
        <v>DONT ENTER</v>
      </c>
      <c r="AB131" s="40">
        <f>VLOOKUP(A131, Raw_Data_Adani!AQ:BE, 8, FALSE)</f>
        <v>2273.6999999999998</v>
      </c>
      <c r="AC131" s="25">
        <f>Assumptions!$B$32</f>
        <v>45930</v>
      </c>
      <c r="AD131" s="3">
        <f t="shared" si="10"/>
        <v>54</v>
      </c>
      <c r="AE131" s="3">
        <f>C131*(1+(Assumptions!$B$13*AD131/365))</f>
        <v>2271.2686394520551</v>
      </c>
      <c r="AF131" s="40">
        <f t="shared" si="11"/>
        <v>2.4313605479446778</v>
      </c>
      <c r="AG131" s="3">
        <f>(C131*Assumptions!$B$16)+(AB131*Assumptions!$B$17)</f>
        <v>1.5796399999999999</v>
      </c>
      <c r="AH131" s="40">
        <f t="shared" si="12"/>
        <v>0.85172054794467789</v>
      </c>
      <c r="AI131" s="26">
        <f>C131+(AB131*Assumptions!$B$15)</f>
        <v>3000.1210000000001</v>
      </c>
      <c r="AJ131" s="7">
        <f t="shared" si="13"/>
        <v>2.8389539886713831E-4</v>
      </c>
      <c r="AK131" s="27">
        <f t="shared" si="14"/>
        <v>1.9189226034538054E-3</v>
      </c>
      <c r="AL131" s="28" t="str">
        <f>IF(AND(AD131&gt;0,AK131  &gt; Assumptions!$B$13), "ENTER", "DONT ENTER")</f>
        <v>DONT ENTER</v>
      </c>
    </row>
    <row r="132" spans="1:38" x14ac:dyDescent="0.3">
      <c r="A132" s="25">
        <v>45877</v>
      </c>
      <c r="B132" s="3" t="s">
        <v>27</v>
      </c>
      <c r="C132" s="26">
        <f>VLOOKUP(A132, Raw_Data_Adani!A:N, 8, FALSE)</f>
        <v>2178.1</v>
      </c>
      <c r="L132" s="37"/>
      <c r="P132" s="26">
        <f>VLOOKUP(A132, Raw_Data_Adani!AB:AP, 8, FALSE)</f>
        <v>2181.6999999999998</v>
      </c>
      <c r="Q132" s="8">
        <f>Assumptions!$B$31</f>
        <v>45897</v>
      </c>
      <c r="R132" s="3">
        <f t="shared" si="20"/>
        <v>20</v>
      </c>
      <c r="S132" s="3">
        <f>C132*(1+(Assumptions!$B$19*R132/365))</f>
        <v>2178.6967397260273</v>
      </c>
      <c r="T132" s="26">
        <f t="shared" si="21"/>
        <v>3.0032602739725007</v>
      </c>
      <c r="U132" s="3">
        <f>(C132*Assumptions!$B$16)+(P132*Assumptions!$B$17)</f>
        <v>1.52539</v>
      </c>
      <c r="V132" s="26">
        <f t="shared" si="22"/>
        <v>1.4778702739725007</v>
      </c>
      <c r="W132" s="26">
        <f>C132+(P132*Assumptions!$B$15)</f>
        <v>2898.0609999999997</v>
      </c>
      <c r="X132" s="7">
        <f t="shared" si="23"/>
        <v>5.0995140335986745E-4</v>
      </c>
      <c r="Y132" s="27">
        <f t="shared" si="24"/>
        <v>9.3066131113175802E-3</v>
      </c>
      <c r="Z132" s="28" t="str">
        <f>IF(AND(R132&gt;0,Y132  &gt; Assumptions!$B$13), "ENTER", "DONT ENTER")</f>
        <v>DONT ENTER</v>
      </c>
      <c r="AB132" s="40">
        <f>VLOOKUP(A132, Raw_Data_Adani!AQ:BE, 8, FALSE)</f>
        <v>2194.4</v>
      </c>
      <c r="AC132" s="25">
        <f>Assumptions!$B$32</f>
        <v>45930</v>
      </c>
      <c r="AD132" s="3">
        <f t="shared" si="10"/>
        <v>53</v>
      </c>
      <c r="AE132" s="3">
        <f>C132*(1+(Assumptions!$B$13*AD132/365))</f>
        <v>2198.4995475342466</v>
      </c>
      <c r="AF132" s="40">
        <f t="shared" si="11"/>
        <v>-4.0995475342465397</v>
      </c>
      <c r="AG132" s="3">
        <f>(C132*Assumptions!$B$16)+(AB132*Assumptions!$B$17)</f>
        <v>1.52793</v>
      </c>
      <c r="AH132" s="40">
        <f t="shared" si="12"/>
        <v>-5.6274775342465393</v>
      </c>
      <c r="AI132" s="26">
        <f>C132+(AB132*Assumptions!$B$15)</f>
        <v>2902.252</v>
      </c>
      <c r="AJ132" s="7">
        <f t="shared" si="13"/>
        <v>-1.9390037578564988E-3</v>
      </c>
      <c r="AK132" s="27">
        <f t="shared" si="14"/>
        <v>-1.3353516445615509E-2</v>
      </c>
      <c r="AL132" s="28" t="str">
        <f>IF(AND(AD132&gt;0,AK132  &gt; Assumptions!$B$13), "ENTER", "DONT ENTER")</f>
        <v>DONT ENTER</v>
      </c>
    </row>
    <row r="133" spans="1:38" x14ac:dyDescent="0.3">
      <c r="A133" s="25">
        <v>45878</v>
      </c>
      <c r="B133" s="3" t="s">
        <v>27</v>
      </c>
      <c r="C133" s="3" t="e">
        <f>VLOOKUP(A133, Raw_Data_Adani!A:N, 8, FALSE)</f>
        <v>#N/A</v>
      </c>
      <c r="L133" s="37"/>
      <c r="P133" s="3" t="e">
        <f>VLOOKUP(A133, Raw_Data_Adani!AB:AP, 8, FALSE)</f>
        <v>#N/A</v>
      </c>
      <c r="Q133" s="8">
        <f>Assumptions!$B$31</f>
        <v>45897</v>
      </c>
      <c r="R133" s="3">
        <f t="shared" si="20"/>
        <v>19</v>
      </c>
      <c r="S133" s="3" t="e">
        <f>C133*(1+(Assumptions!$B$19*R133/365))</f>
        <v>#N/A</v>
      </c>
      <c r="T133" s="26" t="e">
        <f t="shared" si="21"/>
        <v>#N/A</v>
      </c>
      <c r="U133" s="3" t="e">
        <f>(C133*Assumptions!$B$16)+(P133*Assumptions!$B$17)</f>
        <v>#N/A</v>
      </c>
      <c r="V133" s="3" t="e">
        <f t="shared" si="22"/>
        <v>#N/A</v>
      </c>
      <c r="W133" s="26" t="e">
        <f>C133+(P133*Assumptions!$B$15)</f>
        <v>#N/A</v>
      </c>
      <c r="X133" s="7" t="e">
        <f t="shared" si="23"/>
        <v>#N/A</v>
      </c>
      <c r="Y133" s="7" t="e">
        <f t="shared" si="24"/>
        <v>#N/A</v>
      </c>
      <c r="Z133" s="3" t="e">
        <f>IF(AND(R133&gt;0,Y133  &gt; Assumptions!$B$13), "ENTER", "DONT ENTER")</f>
        <v>#N/A</v>
      </c>
      <c r="AB133" s="3" t="e">
        <f>VLOOKUP(A133, Raw_Data_Adani!AQ:BE, 8, FALSE)</f>
        <v>#N/A</v>
      </c>
      <c r="AC133" s="25">
        <f>Assumptions!$B$32</f>
        <v>45930</v>
      </c>
      <c r="AD133" s="3">
        <f t="shared" si="10"/>
        <v>52</v>
      </c>
      <c r="AE133" s="3" t="e">
        <f>C133*(1+(Assumptions!$B$13*AD133/365))</f>
        <v>#N/A</v>
      </c>
      <c r="AF133" s="3" t="e">
        <f t="shared" si="11"/>
        <v>#N/A</v>
      </c>
      <c r="AG133" s="3" t="e">
        <f>(C133*Assumptions!$B$16)+(AB133*Assumptions!$B$17)</f>
        <v>#N/A</v>
      </c>
      <c r="AH133" s="3" t="e">
        <f t="shared" si="12"/>
        <v>#N/A</v>
      </c>
      <c r="AI133" s="3" t="e">
        <f>C133+(AB133*Assumptions!$B$15)</f>
        <v>#N/A</v>
      </c>
      <c r="AJ133" s="7" t="e">
        <f t="shared" si="13"/>
        <v>#N/A</v>
      </c>
      <c r="AK133" s="7" t="e">
        <f t="shared" si="14"/>
        <v>#N/A</v>
      </c>
      <c r="AL133" s="3" t="e">
        <f>IF(AND(AD133&gt;0,AK133  &gt; Assumptions!$B$13), "ENTER", "DONT ENTER")</f>
        <v>#N/A</v>
      </c>
    </row>
    <row r="134" spans="1:38" x14ac:dyDescent="0.3">
      <c r="A134" s="25">
        <v>45879</v>
      </c>
      <c r="B134" s="3" t="s">
        <v>27</v>
      </c>
      <c r="C134" s="3" t="e">
        <f>VLOOKUP(A134, Raw_Data_Adani!A:N, 8, FALSE)</f>
        <v>#N/A</v>
      </c>
      <c r="L134" s="37"/>
      <c r="P134" s="3" t="e">
        <f>VLOOKUP(A134, Raw_Data_Adani!AB:AP, 8, FALSE)</f>
        <v>#N/A</v>
      </c>
      <c r="Q134" s="8">
        <f>Assumptions!$B$31</f>
        <v>45897</v>
      </c>
      <c r="R134" s="3">
        <f t="shared" si="20"/>
        <v>18</v>
      </c>
      <c r="S134" s="3" t="e">
        <f>C134*(1+(Assumptions!$B$19*R134/365))</f>
        <v>#N/A</v>
      </c>
      <c r="T134" s="26" t="e">
        <f t="shared" si="21"/>
        <v>#N/A</v>
      </c>
      <c r="U134" s="3" t="e">
        <f>(C134*Assumptions!$B$16)+(P134*Assumptions!$B$17)</f>
        <v>#N/A</v>
      </c>
      <c r="V134" s="3" t="e">
        <f t="shared" si="22"/>
        <v>#N/A</v>
      </c>
      <c r="W134" s="26" t="e">
        <f>C134+(P134*Assumptions!$B$15)</f>
        <v>#N/A</v>
      </c>
      <c r="X134" s="7" t="e">
        <f t="shared" si="23"/>
        <v>#N/A</v>
      </c>
      <c r="Y134" s="7" t="e">
        <f t="shared" si="24"/>
        <v>#N/A</v>
      </c>
      <c r="Z134" s="3" t="e">
        <f>IF(AND(R134&gt;0,Y134  &gt; Assumptions!$B$13), "ENTER", "DONT ENTER")</f>
        <v>#N/A</v>
      </c>
      <c r="AB134" s="3" t="e">
        <f>VLOOKUP(A134, Raw_Data_Adani!AQ:BE, 8, FALSE)</f>
        <v>#N/A</v>
      </c>
      <c r="AC134" s="25">
        <f>Assumptions!$B$32</f>
        <v>45930</v>
      </c>
      <c r="AD134" s="3">
        <f t="shared" si="10"/>
        <v>51</v>
      </c>
      <c r="AE134" s="3" t="e">
        <f>C134*(1+(Assumptions!$B$13*AD134/365))</f>
        <v>#N/A</v>
      </c>
      <c r="AF134" s="3" t="e">
        <f t="shared" si="11"/>
        <v>#N/A</v>
      </c>
      <c r="AG134" s="3" t="e">
        <f>(C134*Assumptions!$B$16)+(AB134*Assumptions!$B$17)</f>
        <v>#N/A</v>
      </c>
      <c r="AH134" s="3" t="e">
        <f t="shared" si="12"/>
        <v>#N/A</v>
      </c>
      <c r="AI134" s="3" t="e">
        <f>C134+(AB134*Assumptions!$B$15)</f>
        <v>#N/A</v>
      </c>
      <c r="AJ134" s="7" t="e">
        <f t="shared" si="13"/>
        <v>#N/A</v>
      </c>
      <c r="AK134" s="7" t="e">
        <f t="shared" si="14"/>
        <v>#N/A</v>
      </c>
      <c r="AL134" s="3" t="e">
        <f>IF(AND(AD134&gt;0,AK134  &gt; Assumptions!$B$13), "ENTER", "DONT ENTER")</f>
        <v>#N/A</v>
      </c>
    </row>
    <row r="135" spans="1:38" x14ac:dyDescent="0.3">
      <c r="A135" s="25">
        <v>45880</v>
      </c>
      <c r="B135" s="3" t="s">
        <v>27</v>
      </c>
      <c r="C135" s="26">
        <f>VLOOKUP(A135, Raw_Data_Adani!A:N, 8, FALSE)</f>
        <v>2283.4</v>
      </c>
      <c r="L135" s="37"/>
      <c r="P135" s="26">
        <f>VLOOKUP(A135, Raw_Data_Adani!AB:AP, 8, FALSE)</f>
        <v>2289.6</v>
      </c>
      <c r="Q135" s="8">
        <f>Assumptions!$B$31</f>
        <v>45897</v>
      </c>
      <c r="R135" s="3">
        <f t="shared" si="20"/>
        <v>17</v>
      </c>
      <c r="S135" s="3">
        <f>C135*(1+(Assumptions!$B$19*R135/365))</f>
        <v>2283.9317506849316</v>
      </c>
      <c r="T135" s="26">
        <f t="shared" si="21"/>
        <v>5.6682493150683513</v>
      </c>
      <c r="U135" s="3">
        <f>(C135*Assumptions!$B$16)+(P135*Assumptions!$B$17)</f>
        <v>1.5996200000000003</v>
      </c>
      <c r="V135" s="26">
        <f t="shared" si="22"/>
        <v>4.0686293150683515</v>
      </c>
      <c r="W135" s="26">
        <f>C135+(P135*Assumptions!$B$15)</f>
        <v>3038.9679999999998</v>
      </c>
      <c r="X135" s="7">
        <f t="shared" si="23"/>
        <v>1.3388194002267716E-3</v>
      </c>
      <c r="Y135" s="27">
        <f t="shared" si="24"/>
        <v>2.8745240063692449E-2</v>
      </c>
      <c r="Z135" s="28" t="str">
        <f>IF(AND(R135&gt;0,Y135  &gt; Assumptions!$B$13), "ENTER", "DONT ENTER")</f>
        <v>DONT ENTER</v>
      </c>
      <c r="AB135" s="40">
        <f>VLOOKUP(A135, Raw_Data_Adani!AQ:BE, 8, FALSE)</f>
        <v>2309.6999999999998</v>
      </c>
      <c r="AC135" s="25">
        <f>Assumptions!$B$32</f>
        <v>45930</v>
      </c>
      <c r="AD135" s="3">
        <f t="shared" si="10"/>
        <v>50</v>
      </c>
      <c r="AE135" s="3">
        <f>C135*(1+(Assumptions!$B$13*AD135/365))</f>
        <v>2303.5752465753421</v>
      </c>
      <c r="AF135" s="40">
        <f t="shared" si="11"/>
        <v>6.1247534246576834</v>
      </c>
      <c r="AG135" s="3">
        <f>(C135*Assumptions!$B$16)+(AB135*Assumptions!$B$17)</f>
        <v>1.6036400000000002</v>
      </c>
      <c r="AH135" s="40">
        <f t="shared" si="12"/>
        <v>4.521113424657683</v>
      </c>
      <c r="AI135" s="26">
        <f>C135+(AB135*Assumptions!$B$15)</f>
        <v>3045.6010000000001</v>
      </c>
      <c r="AJ135" s="7">
        <f t="shared" si="13"/>
        <v>1.4844733189467965E-3</v>
      </c>
      <c r="AK135" s="27">
        <f t="shared" si="14"/>
        <v>1.0836655228311615E-2</v>
      </c>
      <c r="AL135" s="28" t="str">
        <f>IF(AND(AD135&gt;0,AK135  &gt; Assumptions!$B$13), "ENTER", "DONT ENTER")</f>
        <v>DONT ENTER</v>
      </c>
    </row>
    <row r="136" spans="1:38" x14ac:dyDescent="0.3">
      <c r="A136" s="25">
        <v>45881</v>
      </c>
      <c r="B136" s="3" t="s">
        <v>27</v>
      </c>
      <c r="C136" s="26">
        <f>VLOOKUP(A136, Raw_Data_Adani!A:N, 8, FALSE)</f>
        <v>2288.1999999999998</v>
      </c>
      <c r="L136" s="37"/>
      <c r="P136" s="26">
        <f>VLOOKUP(A136, Raw_Data_Adani!AB:AP, 8, FALSE)</f>
        <v>2292.4</v>
      </c>
      <c r="Q136" s="8">
        <f>Assumptions!$B$31</f>
        <v>45897</v>
      </c>
      <c r="R136" s="3">
        <f t="shared" si="20"/>
        <v>16</v>
      </c>
      <c r="S136" s="3">
        <f>C136*(1+(Assumptions!$B$19*R136/365))</f>
        <v>2288.7015232876711</v>
      </c>
      <c r="T136" s="26">
        <f t="shared" si="21"/>
        <v>3.6984767123290112</v>
      </c>
      <c r="U136" s="3">
        <f>(C136*Assumptions!$B$16)+(P136*Assumptions!$B$17)</f>
        <v>1.6025799999999999</v>
      </c>
      <c r="V136" s="26">
        <f t="shared" si="22"/>
        <v>2.0958967123290115</v>
      </c>
      <c r="W136" s="26">
        <f>C136+(P136*Assumptions!$B$15)</f>
        <v>3044.692</v>
      </c>
      <c r="X136" s="7">
        <f t="shared" si="23"/>
        <v>6.8837725205998226E-4</v>
      </c>
      <c r="Y136" s="27">
        <f t="shared" si="24"/>
        <v>1.5703606062618346E-2</v>
      </c>
      <c r="Z136" s="28" t="str">
        <f>IF(AND(R136&gt;0,Y136  &gt; Assumptions!$B$13), "ENTER", "DONT ENTER")</f>
        <v>DONT ENTER</v>
      </c>
      <c r="AB136" s="40">
        <f>VLOOKUP(A136, Raw_Data_Adani!AQ:BE, 8, FALSE)</f>
        <v>2307.6</v>
      </c>
      <c r="AC136" s="25">
        <f>Assumptions!$B$32</f>
        <v>45930</v>
      </c>
      <c r="AD136" s="3">
        <f t="shared" si="10"/>
        <v>49</v>
      </c>
      <c r="AE136" s="3">
        <f>C136*(1+(Assumptions!$B$13*AD136/365))</f>
        <v>2308.0133043835613</v>
      </c>
      <c r="AF136" s="40">
        <f t="shared" si="11"/>
        <v>-0.41330438356135346</v>
      </c>
      <c r="AG136" s="3">
        <f>(C136*Assumptions!$B$16)+(AB136*Assumptions!$B$17)</f>
        <v>1.6056199999999998</v>
      </c>
      <c r="AH136" s="40">
        <f t="shared" si="12"/>
        <v>-2.0189243835613535</v>
      </c>
      <c r="AI136" s="26">
        <f>C136+(AB136*Assumptions!$B$15)</f>
        <v>3049.7079999999996</v>
      </c>
      <c r="AJ136" s="7">
        <f t="shared" si="13"/>
        <v>-6.6200579975569918E-4</v>
      </c>
      <c r="AK136" s="27">
        <f t="shared" si="14"/>
        <v>-4.9312676920577597E-3</v>
      </c>
      <c r="AL136" s="28" t="str">
        <f>IF(AND(AD136&gt;0,AK136  &gt; Assumptions!$B$13), "ENTER", "DONT ENTER")</f>
        <v>DONT ENTER</v>
      </c>
    </row>
    <row r="137" spans="1:38" x14ac:dyDescent="0.3">
      <c r="A137" s="25">
        <v>45882</v>
      </c>
      <c r="B137" s="3" t="s">
        <v>27</v>
      </c>
      <c r="C137" s="26">
        <f>VLOOKUP(A137, Raw_Data_Adani!A:N, 8, FALSE)</f>
        <v>2280.1</v>
      </c>
      <c r="L137" s="37"/>
      <c r="P137" s="40">
        <f>VLOOKUP(A137, Raw_Data_Adani!AB:AP, 8, FALSE)</f>
        <v>2288</v>
      </c>
      <c r="Q137" s="8">
        <f>Assumptions!$B$31</f>
        <v>45897</v>
      </c>
      <c r="R137" s="3">
        <f t="shared" si="20"/>
        <v>15</v>
      </c>
      <c r="S137" s="3">
        <f>C137*(1+(Assumptions!$B$19*R137/365))</f>
        <v>2280.5685136986299</v>
      </c>
      <c r="T137" s="26">
        <f t="shared" si="21"/>
        <v>7.4314863013701142</v>
      </c>
      <c r="U137" s="3">
        <f>(C137*Assumptions!$B$16)+(P137*Assumptions!$B$17)</f>
        <v>1.59765</v>
      </c>
      <c r="V137" s="26">
        <f t="shared" si="22"/>
        <v>5.8338363013701144</v>
      </c>
      <c r="W137" s="26">
        <f>C137+(P137*Assumptions!$B$15)</f>
        <v>3035.14</v>
      </c>
      <c r="X137" s="7">
        <f t="shared" si="23"/>
        <v>1.9220979267414731E-3</v>
      </c>
      <c r="Y137" s="27">
        <f t="shared" si="24"/>
        <v>4.6771049550709175E-2</v>
      </c>
      <c r="Z137" s="28" t="str">
        <f>IF(AND(R137&gt;0,Y137  &gt; Assumptions!$B$13), "ENTER", "DONT ENTER")</f>
        <v>DONT ENTER</v>
      </c>
      <c r="AB137" s="40">
        <f>VLOOKUP(A137, Raw_Data_Adani!AQ:BE, 8, FALSE)</f>
        <v>2303.4</v>
      </c>
      <c r="AC137" s="25">
        <f>Assumptions!$B$32</f>
        <v>45930</v>
      </c>
      <c r="AD137" s="3">
        <f t="shared" si="10"/>
        <v>48</v>
      </c>
      <c r="AE137" s="3">
        <f>C137*(1+(Assumptions!$B$13*AD137/365))</f>
        <v>2299.4402454794522</v>
      </c>
      <c r="AF137" s="40">
        <f t="shared" si="11"/>
        <v>3.9597545205479037</v>
      </c>
      <c r="AG137" s="3">
        <f>(C137*Assumptions!$B$16)+(AB137*Assumptions!$B$17)</f>
        <v>1.60073</v>
      </c>
      <c r="AH137" s="40">
        <f t="shared" si="12"/>
        <v>2.3590245205479037</v>
      </c>
      <c r="AI137" s="26">
        <f>C137+(AB137*Assumptions!$B$15)</f>
        <v>3040.2219999999998</v>
      </c>
      <c r="AJ137" s="7">
        <f t="shared" si="13"/>
        <v>7.7593824416371691E-4</v>
      </c>
      <c r="AK137" s="27">
        <f t="shared" si="14"/>
        <v>5.9003637316615972E-3</v>
      </c>
      <c r="AL137" s="28" t="str">
        <f>IF(AND(AD137&gt;0,AK137  &gt; Assumptions!$B$13), "ENTER", "DONT ENTER")</f>
        <v>DONT ENTER</v>
      </c>
    </row>
    <row r="138" spans="1:38" x14ac:dyDescent="0.3">
      <c r="A138" s="25">
        <v>45883</v>
      </c>
      <c r="B138" s="3" t="s">
        <v>27</v>
      </c>
      <c r="C138" s="26">
        <f>VLOOKUP(A138, Raw_Data_Adani!A:N, 8, FALSE)</f>
        <v>2281.6</v>
      </c>
      <c r="L138" s="37"/>
      <c r="P138" s="26">
        <f>VLOOKUP(A138, Raw_Data_Adani!AB:AP, 8, FALSE)</f>
        <v>2283</v>
      </c>
      <c r="Q138" s="8">
        <f>Assumptions!$B$31</f>
        <v>45897</v>
      </c>
      <c r="R138" s="3">
        <f t="shared" si="20"/>
        <v>14</v>
      </c>
      <c r="S138" s="3">
        <f>C138*(1+(Assumptions!$B$19*R138/365))</f>
        <v>2282.0375671232878</v>
      </c>
      <c r="T138" s="26">
        <f t="shared" si="21"/>
        <v>0.96243287671222788</v>
      </c>
      <c r="U138" s="3">
        <f>(C138*Assumptions!$B$16)+(P138*Assumptions!$B$17)</f>
        <v>1.5973999999999999</v>
      </c>
      <c r="V138" s="26">
        <f t="shared" si="22"/>
        <v>-0.63496712328777205</v>
      </c>
      <c r="W138" s="26">
        <f>C138+(P138*Assumptions!$B$15)</f>
        <v>3034.99</v>
      </c>
      <c r="X138" s="7">
        <f t="shared" si="23"/>
        <v>-2.0921555698297922E-4</v>
      </c>
      <c r="Y138" s="27">
        <f t="shared" si="24"/>
        <v>-5.454548449913387E-3</v>
      </c>
      <c r="Z138" s="28" t="str">
        <f>IF(AND(R138&gt;0,Y138  &gt; Assumptions!$B$13), "ENTER", "DONT ENTER")</f>
        <v>DONT ENTER</v>
      </c>
      <c r="AB138" s="40">
        <f>VLOOKUP(A138, Raw_Data_Adani!AQ:BE, 8, FALSE)</f>
        <v>2295.6</v>
      </c>
      <c r="AC138" s="25">
        <f>Assumptions!$B$32</f>
        <v>45930</v>
      </c>
      <c r="AD138" s="3">
        <f t="shared" si="10"/>
        <v>47</v>
      </c>
      <c r="AE138" s="3">
        <f>C138*(1+(Assumptions!$B$13*AD138/365))</f>
        <v>2300.5497819178081</v>
      </c>
      <c r="AF138" s="40">
        <f t="shared" si="11"/>
        <v>-4.9497819178081954</v>
      </c>
      <c r="AG138" s="3">
        <f>(C138*Assumptions!$B$16)+(AB138*Assumptions!$B$17)</f>
        <v>1.59992</v>
      </c>
      <c r="AH138" s="40">
        <f t="shared" si="12"/>
        <v>-6.5497019178081954</v>
      </c>
      <c r="AI138" s="26">
        <f>C138+(AB138*Assumptions!$B$15)</f>
        <v>3039.1480000000001</v>
      </c>
      <c r="AJ138" s="7">
        <f t="shared" si="13"/>
        <v>-2.1551112080781176E-3</v>
      </c>
      <c r="AK138" s="27">
        <f t="shared" si="14"/>
        <v>-1.6736501935074744E-2</v>
      </c>
      <c r="AL138" s="28" t="str">
        <f>IF(AND(AD138&gt;0,AK138  &gt; Assumptions!$B$13), "ENTER", "DONT ENTER")</f>
        <v>DONT ENTER</v>
      </c>
    </row>
    <row r="139" spans="1:38" x14ac:dyDescent="0.3">
      <c r="A139" s="25">
        <v>45884</v>
      </c>
      <c r="B139" s="3" t="s">
        <v>27</v>
      </c>
      <c r="C139" s="3" t="e">
        <f>VLOOKUP(A139, Raw_Data_Adani!A:N, 8, FALSE)</f>
        <v>#N/A</v>
      </c>
      <c r="L139" s="37"/>
      <c r="P139" s="3" t="e">
        <f>VLOOKUP(A139, Raw_Data_Adani!AB:AP, 8, FALSE)</f>
        <v>#N/A</v>
      </c>
      <c r="Q139" s="8">
        <f>Assumptions!$B$31</f>
        <v>45897</v>
      </c>
      <c r="R139" s="3">
        <f t="shared" si="20"/>
        <v>13</v>
      </c>
      <c r="S139" s="3" t="e">
        <f>C139*(1+(Assumptions!$B$19*R139/365))</f>
        <v>#N/A</v>
      </c>
      <c r="T139" s="26" t="e">
        <f t="shared" si="21"/>
        <v>#N/A</v>
      </c>
      <c r="U139" s="3" t="e">
        <f>(C139*Assumptions!$B$16)+(P139*Assumptions!$B$17)</f>
        <v>#N/A</v>
      </c>
      <c r="V139" s="3" t="e">
        <f t="shared" si="22"/>
        <v>#N/A</v>
      </c>
      <c r="W139" s="26" t="e">
        <f>C139+(P139*Assumptions!$B$15)</f>
        <v>#N/A</v>
      </c>
      <c r="X139" s="7" t="e">
        <f t="shared" si="23"/>
        <v>#N/A</v>
      </c>
      <c r="Y139" s="7" t="e">
        <f t="shared" si="24"/>
        <v>#N/A</v>
      </c>
      <c r="Z139" s="3" t="e">
        <f>IF(AND(R139&gt;0,Y139  &gt; Assumptions!$B$13), "ENTER", "DONT ENTER")</f>
        <v>#N/A</v>
      </c>
      <c r="AB139" s="3" t="e">
        <f>VLOOKUP(A139, Raw_Data_Adani!AQ:BE, 8, FALSE)</f>
        <v>#N/A</v>
      </c>
      <c r="AC139" s="25">
        <f>Assumptions!$B$32</f>
        <v>45930</v>
      </c>
      <c r="AD139" s="3">
        <f t="shared" si="10"/>
        <v>46</v>
      </c>
      <c r="AE139" s="3" t="e">
        <f>C139*(1+(Assumptions!$B$13*AD139/365))</f>
        <v>#N/A</v>
      </c>
      <c r="AF139" s="3" t="e">
        <f t="shared" si="11"/>
        <v>#N/A</v>
      </c>
      <c r="AG139" s="3" t="e">
        <f>(C139*Assumptions!$B$16)+(AB139*Assumptions!$B$17)</f>
        <v>#N/A</v>
      </c>
      <c r="AH139" s="3" t="e">
        <f t="shared" si="12"/>
        <v>#N/A</v>
      </c>
      <c r="AI139" s="3" t="e">
        <f>C139+(AB139*Assumptions!$B$15)</f>
        <v>#N/A</v>
      </c>
      <c r="AJ139" s="7" t="e">
        <f t="shared" si="13"/>
        <v>#N/A</v>
      </c>
      <c r="AK139" s="7" t="e">
        <f t="shared" si="14"/>
        <v>#N/A</v>
      </c>
      <c r="AL139" s="3" t="e">
        <f>IF(AND(AD139&gt;0,AK139  &gt; Assumptions!$B$13), "ENTER", "DONT ENTER")</f>
        <v>#N/A</v>
      </c>
    </row>
    <row r="140" spans="1:38" x14ac:dyDescent="0.3">
      <c r="A140" s="25">
        <v>45885</v>
      </c>
      <c r="B140" s="3" t="s">
        <v>27</v>
      </c>
      <c r="C140" s="3" t="e">
        <f>VLOOKUP(A140, Raw_Data_Adani!A:N, 8, FALSE)</f>
        <v>#N/A</v>
      </c>
      <c r="L140" s="37"/>
      <c r="P140" s="3" t="e">
        <f>VLOOKUP(A140, Raw_Data_Adani!AB:AP, 8, FALSE)</f>
        <v>#N/A</v>
      </c>
      <c r="Q140" s="8">
        <f>Assumptions!$B$31</f>
        <v>45897</v>
      </c>
      <c r="R140" s="3">
        <f t="shared" si="20"/>
        <v>12</v>
      </c>
      <c r="S140" s="3" t="e">
        <f>C140*(1+(Assumptions!$B$19*R140/365))</f>
        <v>#N/A</v>
      </c>
      <c r="T140" s="26" t="e">
        <f t="shared" si="21"/>
        <v>#N/A</v>
      </c>
      <c r="U140" s="3" t="e">
        <f>(C140*Assumptions!$B$16)+(P140*Assumptions!$B$17)</f>
        <v>#N/A</v>
      </c>
      <c r="V140" s="3" t="e">
        <f t="shared" si="22"/>
        <v>#N/A</v>
      </c>
      <c r="W140" s="26" t="e">
        <f>C140+(P140*Assumptions!$B$15)</f>
        <v>#N/A</v>
      </c>
      <c r="X140" s="7" t="e">
        <f t="shared" si="23"/>
        <v>#N/A</v>
      </c>
      <c r="Y140" s="7" t="e">
        <f t="shared" si="24"/>
        <v>#N/A</v>
      </c>
      <c r="Z140" s="3" t="e">
        <f>IF(AND(R140&gt;0,Y140  &gt; Assumptions!$B$13), "ENTER", "DONT ENTER")</f>
        <v>#N/A</v>
      </c>
      <c r="AB140" s="3" t="e">
        <f>VLOOKUP(A140, Raw_Data_Adani!AQ:BE, 8, FALSE)</f>
        <v>#N/A</v>
      </c>
      <c r="AC140" s="25">
        <f>Assumptions!$B$32</f>
        <v>45930</v>
      </c>
      <c r="AD140" s="3">
        <f t="shared" si="10"/>
        <v>45</v>
      </c>
      <c r="AE140" s="3" t="e">
        <f>C140*(1+(Assumptions!$B$13*AD140/365))</f>
        <v>#N/A</v>
      </c>
      <c r="AF140" s="3" t="e">
        <f t="shared" si="11"/>
        <v>#N/A</v>
      </c>
      <c r="AG140" s="3" t="e">
        <f>(C140*Assumptions!$B$16)+(AB140*Assumptions!$B$17)</f>
        <v>#N/A</v>
      </c>
      <c r="AH140" s="3" t="e">
        <f t="shared" si="12"/>
        <v>#N/A</v>
      </c>
      <c r="AI140" s="3" t="e">
        <f>C140+(AB140*Assumptions!$B$15)</f>
        <v>#N/A</v>
      </c>
      <c r="AJ140" s="7" t="e">
        <f t="shared" si="13"/>
        <v>#N/A</v>
      </c>
      <c r="AK140" s="7" t="e">
        <f t="shared" si="14"/>
        <v>#N/A</v>
      </c>
      <c r="AL140" s="3" t="e">
        <f>IF(AND(AD140&gt;0,AK140  &gt; Assumptions!$B$13), "ENTER", "DONT ENTER")</f>
        <v>#N/A</v>
      </c>
    </row>
    <row r="141" spans="1:38" x14ac:dyDescent="0.3">
      <c r="A141" s="25">
        <v>45886</v>
      </c>
      <c r="B141" s="3" t="s">
        <v>27</v>
      </c>
      <c r="C141" s="3" t="e">
        <f>VLOOKUP(A141, Raw_Data_Adani!A:N, 8, FALSE)</f>
        <v>#N/A</v>
      </c>
      <c r="L141" s="37"/>
      <c r="P141" s="3" t="e">
        <f>VLOOKUP(A141, Raw_Data_Adani!AB:AP, 8, FALSE)</f>
        <v>#N/A</v>
      </c>
      <c r="Q141" s="8">
        <f>Assumptions!$B$31</f>
        <v>45897</v>
      </c>
      <c r="R141" s="3">
        <f t="shared" si="20"/>
        <v>11</v>
      </c>
      <c r="S141" s="3" t="e">
        <f>C141*(1+(Assumptions!$B$19*R141/365))</f>
        <v>#N/A</v>
      </c>
      <c r="T141" s="26" t="e">
        <f t="shared" si="21"/>
        <v>#N/A</v>
      </c>
      <c r="U141" s="3" t="e">
        <f>(C141*Assumptions!$B$16)+(P141*Assumptions!$B$17)</f>
        <v>#N/A</v>
      </c>
      <c r="V141" s="3" t="e">
        <f t="shared" si="22"/>
        <v>#N/A</v>
      </c>
      <c r="W141" s="26" t="e">
        <f>C141+(P141*Assumptions!$B$15)</f>
        <v>#N/A</v>
      </c>
      <c r="X141" s="7" t="e">
        <f t="shared" si="23"/>
        <v>#N/A</v>
      </c>
      <c r="Y141" s="7" t="e">
        <f t="shared" si="24"/>
        <v>#N/A</v>
      </c>
      <c r="Z141" s="3" t="e">
        <f>IF(AND(R141&gt;0,Y141  &gt; Assumptions!$B$13), "ENTER", "DONT ENTER")</f>
        <v>#N/A</v>
      </c>
      <c r="AB141" s="3" t="e">
        <f>VLOOKUP(A141, Raw_Data_Adani!AQ:BE, 8, FALSE)</f>
        <v>#N/A</v>
      </c>
      <c r="AC141" s="25">
        <f>Assumptions!$B$32</f>
        <v>45930</v>
      </c>
      <c r="AD141" s="3">
        <f t="shared" si="10"/>
        <v>44</v>
      </c>
      <c r="AE141" s="3" t="e">
        <f>C141*(1+(Assumptions!$B$13*AD141/365))</f>
        <v>#N/A</v>
      </c>
      <c r="AF141" s="3" t="e">
        <f t="shared" si="11"/>
        <v>#N/A</v>
      </c>
      <c r="AG141" s="3" t="e">
        <f>(C141*Assumptions!$B$16)+(AB141*Assumptions!$B$17)</f>
        <v>#N/A</v>
      </c>
      <c r="AH141" s="3" t="e">
        <f t="shared" si="12"/>
        <v>#N/A</v>
      </c>
      <c r="AI141" s="3" t="e">
        <f>C141+(AB141*Assumptions!$B$15)</f>
        <v>#N/A</v>
      </c>
      <c r="AJ141" s="7" t="e">
        <f t="shared" si="13"/>
        <v>#N/A</v>
      </c>
      <c r="AK141" s="7" t="e">
        <f t="shared" si="14"/>
        <v>#N/A</v>
      </c>
      <c r="AL141" s="3" t="e">
        <f>IF(AND(AD141&gt;0,AK141  &gt; Assumptions!$B$13), "ENTER", "DONT ENTER")</f>
        <v>#N/A</v>
      </c>
    </row>
    <row r="142" spans="1:38" x14ac:dyDescent="0.3">
      <c r="A142" s="25">
        <v>45887</v>
      </c>
      <c r="B142" s="3" t="s">
        <v>27</v>
      </c>
      <c r="C142" s="26">
        <f>VLOOKUP(A142, Raw_Data_Adani!A:N, 8, FALSE)</f>
        <v>2333.6</v>
      </c>
      <c r="L142" s="37"/>
      <c r="P142" s="26">
        <f>VLOOKUP(A142, Raw_Data_Adani!AB:AP, 8, FALSE)</f>
        <v>2334.5</v>
      </c>
      <c r="Q142" s="8">
        <f>Assumptions!$B$31</f>
        <v>45897</v>
      </c>
      <c r="R142" s="3">
        <f t="shared" si="20"/>
        <v>10</v>
      </c>
      <c r="S142" s="3">
        <f>C142*(1+(Assumptions!$B$19*R142/365))</f>
        <v>2333.9196712328767</v>
      </c>
      <c r="T142" s="26">
        <f t="shared" si="21"/>
        <v>0.58032876712331927</v>
      </c>
      <c r="U142" s="3">
        <f>(C142*Assumptions!$B$16)+(P142*Assumptions!$B$17)</f>
        <v>1.6337000000000002</v>
      </c>
      <c r="V142" s="26">
        <f t="shared" si="22"/>
        <v>-1.0533712328766809</v>
      </c>
      <c r="W142" s="26">
        <f>C142+(P142*Assumptions!$B$15)</f>
        <v>3103.9849999999997</v>
      </c>
      <c r="X142" s="7">
        <f t="shared" si="23"/>
        <v>-3.3936092889517218E-4</v>
      </c>
      <c r="Y142" s="27">
        <f t="shared" si="24"/>
        <v>-1.2386673904673785E-2</v>
      </c>
      <c r="Z142" s="28" t="str">
        <f>IF(AND(R142&gt;0,Y142  &gt; Assumptions!$B$13), "ENTER", "DONT ENTER")</f>
        <v>DONT ENTER</v>
      </c>
      <c r="AB142" s="40">
        <f>VLOOKUP(A142, Raw_Data_Adani!AQ:BE, 8, FALSE)</f>
        <v>2348.8000000000002</v>
      </c>
      <c r="AC142" s="25">
        <f>Assumptions!$B$32</f>
        <v>45930</v>
      </c>
      <c r="AD142" s="3">
        <f t="shared" si="10"/>
        <v>43</v>
      </c>
      <c r="AE142" s="3">
        <f>C142*(1+(Assumptions!$B$13*AD142/365))</f>
        <v>2351.3321632876714</v>
      </c>
      <c r="AF142" s="40">
        <f t="shared" si="11"/>
        <v>-2.5321632876712101</v>
      </c>
      <c r="AG142" s="3">
        <f>(C142*Assumptions!$B$16)+(AB142*Assumptions!$B$17)</f>
        <v>1.6365600000000002</v>
      </c>
      <c r="AH142" s="40">
        <f t="shared" si="12"/>
        <v>-4.1687232876712104</v>
      </c>
      <c r="AI142" s="26">
        <f>C142+(AB142*Assumptions!$B$15)</f>
        <v>3108.7039999999997</v>
      </c>
      <c r="AJ142" s="7">
        <f t="shared" si="13"/>
        <v>-1.3409843097545507E-3</v>
      </c>
      <c r="AK142" s="27">
        <f t="shared" si="14"/>
        <v>-1.1382773792102582E-2</v>
      </c>
      <c r="AL142" s="28" t="str">
        <f>IF(AND(AD142&gt;0,AK142  &gt; Assumptions!$B$13), "ENTER", "DONT ENTER")</f>
        <v>DONT ENTER</v>
      </c>
    </row>
    <row r="143" spans="1:38" x14ac:dyDescent="0.3">
      <c r="A143" s="38">
        <v>45888</v>
      </c>
      <c r="B143" s="3" t="s">
        <v>27</v>
      </c>
      <c r="C143" s="26">
        <f>VLOOKUP(A143, Raw_Data_Adani!A:N, 8, FALSE)</f>
        <v>2388.4</v>
      </c>
      <c r="L143" s="37"/>
      <c r="P143" s="26">
        <f>VLOOKUP(A143, Raw_Data_Adani!AB:AP, 8, FALSE)</f>
        <v>2388.9</v>
      </c>
      <c r="Q143" s="8">
        <f>Assumptions!$B$31</f>
        <v>45897</v>
      </c>
      <c r="R143" s="3">
        <f t="shared" si="20"/>
        <v>9</v>
      </c>
      <c r="S143" s="3">
        <f>C143*(1+(Assumptions!$B$19*R143/365))</f>
        <v>2388.6944602739727</v>
      </c>
      <c r="T143" s="26">
        <f t="shared" si="21"/>
        <v>0.20553972602738213</v>
      </c>
      <c r="U143" s="3">
        <f>(C143*Assumptions!$B$16)+(P143*Assumptions!$B$17)</f>
        <v>1.6719800000000002</v>
      </c>
      <c r="V143" s="26">
        <f t="shared" si="22"/>
        <v>-1.4664402739726181</v>
      </c>
      <c r="W143" s="26">
        <f>C143+(P143*Assumptions!$B$15)</f>
        <v>3176.7370000000001</v>
      </c>
      <c r="X143" s="7">
        <f t="shared" si="23"/>
        <v>-4.61618407180896E-4</v>
      </c>
      <c r="Y143" s="27">
        <f t="shared" si="24"/>
        <v>-1.8721190957891893E-2</v>
      </c>
      <c r="Z143" s="28" t="str">
        <f>IF(AND(R143&gt;0,Y143  &gt; Assumptions!$B$13), "ENTER", "DONT ENTER")</f>
        <v>DONT ENTER</v>
      </c>
      <c r="AB143" s="40">
        <f>VLOOKUP(A143, Raw_Data_Adani!AQ:BE, 8, FALSE)</f>
        <v>2402.3000000000002</v>
      </c>
      <c r="AC143" s="25">
        <f>Assumptions!$B$32</f>
        <v>45930</v>
      </c>
      <c r="AD143" s="3">
        <f t="shared" si="10"/>
        <v>42</v>
      </c>
      <c r="AE143" s="3">
        <f>C143*(1+(Assumptions!$B$13*AD143/365))</f>
        <v>2406.1265084931506</v>
      </c>
      <c r="AF143" s="40">
        <f t="shared" si="11"/>
        <v>-3.8265084931504134</v>
      </c>
      <c r="AG143" s="3">
        <f>(C143*Assumptions!$B$16)+(AB143*Assumptions!$B$17)</f>
        <v>1.6746600000000003</v>
      </c>
      <c r="AH143" s="40">
        <f t="shared" si="12"/>
        <v>-5.5011684931504137</v>
      </c>
      <c r="AI143" s="26">
        <f>C143+(AB143*Assumptions!$B$15)</f>
        <v>3181.1590000000001</v>
      </c>
      <c r="AJ143" s="7">
        <f t="shared" si="13"/>
        <v>-1.7292969301912961E-3</v>
      </c>
      <c r="AK143" s="27">
        <f t="shared" si="14"/>
        <v>-1.5028413798091025E-2</v>
      </c>
      <c r="AL143" s="28" t="str">
        <f>IF(AND(AD143&gt;0,AK143  &gt; Assumptions!$B$13), "ENTER", "DONT ENTER")</f>
        <v>DONT ENTER</v>
      </c>
    </row>
    <row r="144" spans="1:38" x14ac:dyDescent="0.3">
      <c r="A144" s="38">
        <v>45889</v>
      </c>
      <c r="B144" s="3" t="s">
        <v>27</v>
      </c>
      <c r="C144" s="26">
        <f>VLOOKUP(A144, Raw_Data_Adani!A:N, 8, FALSE)</f>
        <v>2387.1</v>
      </c>
      <c r="L144" s="37"/>
      <c r="P144" s="26">
        <f>VLOOKUP(A144, Raw_Data_Adani!AB:AP, 8, FALSE)</f>
        <v>2386.4</v>
      </c>
      <c r="Q144" s="8">
        <f>Assumptions!$B$31</f>
        <v>45897</v>
      </c>
      <c r="R144" s="3">
        <f t="shared" si="20"/>
        <v>8</v>
      </c>
      <c r="S144" s="3">
        <f>C144*(1+(Assumptions!$B$19*R144/365))</f>
        <v>2387.3615999999997</v>
      </c>
      <c r="T144" s="26">
        <f t="shared" si="21"/>
        <v>-0.96159999999963475</v>
      </c>
      <c r="U144" s="3">
        <f>(C144*Assumptions!$B$16)+(P144*Assumptions!$B$17)</f>
        <v>1.67083</v>
      </c>
      <c r="V144" s="26">
        <f t="shared" si="22"/>
        <v>-2.6324299999996348</v>
      </c>
      <c r="W144" s="26">
        <f>C144+(P144*Assumptions!$B$15)</f>
        <v>3174.6120000000001</v>
      </c>
      <c r="X144" s="7">
        <f t="shared" si="23"/>
        <v>-8.2921314478734247E-4</v>
      </c>
      <c r="Y144" s="27">
        <f t="shared" si="24"/>
        <v>-3.7832849730922498E-2</v>
      </c>
      <c r="Z144" s="28" t="str">
        <f>IF(AND(R144&gt;0,Y144  &gt; Assumptions!$B$13), "ENTER", "DONT ENTER")</f>
        <v>DONT ENTER</v>
      </c>
      <c r="AB144" s="26">
        <f>VLOOKUP(A144, Raw_Data_Adani!AQ:BE, 8, FALSE)</f>
        <v>2400</v>
      </c>
      <c r="AC144" s="25">
        <f>Assumptions!$B$32</f>
        <v>45930</v>
      </c>
      <c r="AD144" s="3">
        <f t="shared" si="10"/>
        <v>41</v>
      </c>
      <c r="AE144" s="3">
        <f>C144*(1+(Assumptions!$B$13*AD144/365))</f>
        <v>2404.3950300000001</v>
      </c>
      <c r="AF144" s="26">
        <f t="shared" si="11"/>
        <v>-4.3950300000001334</v>
      </c>
      <c r="AG144" s="3">
        <f>(C144*Assumptions!$B$16)+(AB144*Assumptions!$B$17)</f>
        <v>1.6735499999999999</v>
      </c>
      <c r="AH144" s="26">
        <f t="shared" si="12"/>
        <v>-6.0685800000001331</v>
      </c>
      <c r="AI144" s="26">
        <f>C144+(AB144*Assumptions!$B$15)</f>
        <v>3179.1</v>
      </c>
      <c r="AJ144" s="7">
        <f t="shared" si="13"/>
        <v>-1.9088987449278516E-3</v>
      </c>
      <c r="AK144" s="27">
        <f t="shared" si="14"/>
        <v>-1.6993854680455264E-2</v>
      </c>
      <c r="AL144" s="28" t="str">
        <f>IF(AND(AD144&gt;0,AK144  &gt; Assumptions!$B$13), "ENTER", "DONT ENTER")</f>
        <v>DONT ENTER</v>
      </c>
    </row>
    <row r="145" spans="1:38" x14ac:dyDescent="0.3">
      <c r="A145" s="38">
        <v>45890</v>
      </c>
      <c r="B145" s="3" t="s">
        <v>27</v>
      </c>
      <c r="C145" s="26">
        <f>VLOOKUP(A145, Raw_Data_Adani!A:N, 8, FALSE)</f>
        <v>2377.1999999999998</v>
      </c>
      <c r="L145" s="37"/>
      <c r="P145" s="26">
        <f>VLOOKUP(A145, Raw_Data_Adani!AB:AP, 8, FALSE)</f>
        <v>2378.1999999999998</v>
      </c>
      <c r="Q145" s="8">
        <f>Assumptions!$B$31</f>
        <v>45897</v>
      </c>
      <c r="R145" s="3">
        <f t="shared" si="20"/>
        <v>7</v>
      </c>
      <c r="S145" s="3">
        <f>C145*(1+(Assumptions!$B$19*R145/365))</f>
        <v>2377.4279506849311</v>
      </c>
      <c r="T145" s="26">
        <f t="shared" si="21"/>
        <v>0.77204931506867069</v>
      </c>
      <c r="U145" s="3">
        <f>(C145*Assumptions!$B$16)+(P145*Assumptions!$B$17)</f>
        <v>1.6642399999999999</v>
      </c>
      <c r="V145" s="26">
        <f t="shared" si="22"/>
        <v>-0.89219068493132925</v>
      </c>
      <c r="W145" s="26">
        <f>C145+(P145*Assumptions!$B$15)</f>
        <v>3162.0059999999999</v>
      </c>
      <c r="X145" s="7">
        <f t="shared" si="23"/>
        <v>-2.8215970650635367E-4</v>
      </c>
      <c r="Y145" s="27">
        <f t="shared" si="24"/>
        <v>-1.47126132678313E-2</v>
      </c>
      <c r="Z145" s="28" t="str">
        <f>IF(AND(R145&gt;0,Y145  &gt; Assumptions!$B$13), "ENTER", "DONT ENTER")</f>
        <v>DONT ENTER</v>
      </c>
      <c r="AB145" s="26">
        <f>VLOOKUP(A145, Raw_Data_Adani!AQ:BE, 8, FALSE)</f>
        <v>2393.6999999999998</v>
      </c>
      <c r="AC145" s="25">
        <f>Assumptions!$B$32</f>
        <v>45930</v>
      </c>
      <c r="AD145" s="3">
        <f t="shared" si="10"/>
        <v>40</v>
      </c>
      <c r="AE145" s="3">
        <f>C145*(1+(Assumptions!$B$13*AD145/365))</f>
        <v>2394.0032219178083</v>
      </c>
      <c r="AF145" s="26">
        <f t="shared" si="11"/>
        <v>-0.30322191780851426</v>
      </c>
      <c r="AG145" s="3">
        <f>(C145*Assumptions!$B$16)+(AB145*Assumptions!$B$17)</f>
        <v>1.6673399999999998</v>
      </c>
      <c r="AH145" s="26">
        <f t="shared" si="12"/>
        <v>-1.9705619178085141</v>
      </c>
      <c r="AI145" s="26">
        <f>C145+(AB145*Assumptions!$B$15)</f>
        <v>3167.1209999999996</v>
      </c>
      <c r="AJ145" s="7">
        <f t="shared" si="13"/>
        <v>-6.2219344250141197E-4</v>
      </c>
      <c r="AK145" s="27">
        <f t="shared" si="14"/>
        <v>-5.6775151628253844E-3</v>
      </c>
      <c r="AL145" s="28" t="str">
        <f>IF(AND(AD145&gt;0,AK145  &gt; Assumptions!$B$13), "ENTER", "DONT ENTER")</f>
        <v>DONT ENTER</v>
      </c>
    </row>
    <row r="146" spans="1:38" x14ac:dyDescent="0.3">
      <c r="A146" s="38">
        <v>45891</v>
      </c>
      <c r="B146" s="3" t="s">
        <v>27</v>
      </c>
      <c r="C146" s="26">
        <f>VLOOKUP(A146, Raw_Data_Adani!A:N, 8, FALSE)</f>
        <v>2324.9</v>
      </c>
      <c r="L146" s="37"/>
      <c r="P146" s="26">
        <f>VLOOKUP(A146, Raw_Data_Adani!AB:AP, 8, FALSE)</f>
        <v>2323.6</v>
      </c>
      <c r="Q146" s="8">
        <f>Assumptions!$B$31</f>
        <v>45897</v>
      </c>
      <c r="R146" s="3">
        <f t="shared" si="20"/>
        <v>6</v>
      </c>
      <c r="S146" s="3">
        <f>C146*(1+(Assumptions!$B$19*R146/365))</f>
        <v>2325.0910876712333</v>
      </c>
      <c r="T146" s="26">
        <f t="shared" si="21"/>
        <v>-1.4910876712333447</v>
      </c>
      <c r="U146" s="3">
        <f>(C146*Assumptions!$B$16)+(P146*Assumptions!$B$17)</f>
        <v>1.62717</v>
      </c>
      <c r="V146" s="26">
        <f t="shared" si="22"/>
        <v>-3.1182576712333447</v>
      </c>
      <c r="W146" s="26">
        <f>C146+(P146*Assumptions!$B$15)</f>
        <v>3091.6880000000001</v>
      </c>
      <c r="X146" s="7">
        <f t="shared" si="23"/>
        <v>-1.0085939044409864E-3</v>
      </c>
      <c r="Y146" s="27">
        <f t="shared" si="24"/>
        <v>-6.1356129186826674E-2</v>
      </c>
      <c r="Z146" s="28" t="str">
        <f>IF(AND(R146&gt;0,Y146  &gt; Assumptions!$B$13), "ENTER", "DONT ENTER")</f>
        <v>DONT ENTER</v>
      </c>
      <c r="AB146" s="40">
        <f>VLOOKUP(A146, Raw_Data_Adani!AQ:BE, 8, FALSE)</f>
        <v>2336.5</v>
      </c>
      <c r="AC146" s="25">
        <f>Assumptions!$B$32</f>
        <v>45930</v>
      </c>
      <c r="AD146" s="3">
        <f t="shared" si="10"/>
        <v>39</v>
      </c>
      <c r="AE146" s="3">
        <f>C146*(1+(Assumptions!$B$13*AD146/365))</f>
        <v>2340.9227012328765</v>
      </c>
      <c r="AF146" s="40">
        <f t="shared" si="11"/>
        <v>-4.422701232876534</v>
      </c>
      <c r="AG146" s="3">
        <f>(C146*Assumptions!$B$16)+(AB146*Assumptions!$B$17)</f>
        <v>1.62975</v>
      </c>
      <c r="AH146" s="40">
        <f t="shared" si="12"/>
        <v>-6.0524512328765336</v>
      </c>
      <c r="AI146" s="26">
        <f>C146+(AB146*Assumptions!$B$15)</f>
        <v>3095.9450000000002</v>
      </c>
      <c r="AJ146" s="7">
        <f t="shared" si="13"/>
        <v>-1.9549608384117072E-3</v>
      </c>
      <c r="AK146" s="27">
        <f t="shared" si="14"/>
        <v>-1.8296428359494184E-2</v>
      </c>
      <c r="AL146" s="28" t="str">
        <f>IF(AND(AD146&gt;0,AK146  &gt; Assumptions!$B$13), "ENTER", "DONT ENTER")</f>
        <v>DONT ENTER</v>
      </c>
    </row>
    <row r="147" spans="1:38" x14ac:dyDescent="0.3">
      <c r="A147" s="38">
        <v>45892</v>
      </c>
      <c r="B147" s="3" t="s">
        <v>27</v>
      </c>
      <c r="C147" s="3" t="e">
        <f>VLOOKUP(A147, Raw_Data_Adani!A:N, 8, FALSE)</f>
        <v>#N/A</v>
      </c>
      <c r="L147" s="37"/>
      <c r="P147" s="3" t="e">
        <f>VLOOKUP(A147, Raw_Data_Adani!AB:AP, 8, FALSE)</f>
        <v>#N/A</v>
      </c>
      <c r="Q147" s="8">
        <f>Assumptions!$B$31</f>
        <v>45897</v>
      </c>
      <c r="R147" s="3">
        <f t="shared" si="20"/>
        <v>5</v>
      </c>
      <c r="S147" s="3" t="e">
        <f>C147*(1+(Assumptions!$B$19*R147/365))</f>
        <v>#N/A</v>
      </c>
      <c r="T147" s="26" t="e">
        <f t="shared" si="21"/>
        <v>#N/A</v>
      </c>
      <c r="U147" s="3" t="e">
        <f>(C147*Assumptions!$B$16)+(P147*Assumptions!$B$17)</f>
        <v>#N/A</v>
      </c>
      <c r="V147" s="3" t="e">
        <f t="shared" si="22"/>
        <v>#N/A</v>
      </c>
      <c r="W147" s="26" t="e">
        <f>C147+(P147*Assumptions!$B$15)</f>
        <v>#N/A</v>
      </c>
      <c r="X147" s="7" t="e">
        <f t="shared" si="23"/>
        <v>#N/A</v>
      </c>
      <c r="Y147" s="7" t="e">
        <f t="shared" si="24"/>
        <v>#N/A</v>
      </c>
      <c r="Z147" s="3" t="e">
        <f>IF(AND(R147&gt;0,Y147  &gt; Assumptions!$B$13), "ENTER", "DONT ENTER")</f>
        <v>#N/A</v>
      </c>
      <c r="AB147" s="3" t="e">
        <f>VLOOKUP(A147, Raw_Data_Adani!AQ:BE, 8, FALSE)</f>
        <v>#N/A</v>
      </c>
      <c r="AC147" s="25">
        <f>Assumptions!$B$32</f>
        <v>45930</v>
      </c>
      <c r="AD147" s="3">
        <f t="shared" si="10"/>
        <v>38</v>
      </c>
      <c r="AE147" s="3" t="e">
        <f>C147*(1+(Assumptions!$B$13*AD147/365))</f>
        <v>#N/A</v>
      </c>
      <c r="AF147" s="3" t="e">
        <f t="shared" si="11"/>
        <v>#N/A</v>
      </c>
      <c r="AG147" s="3" t="e">
        <f>(C147*Assumptions!$B$16)+(AB147*Assumptions!$B$17)</f>
        <v>#N/A</v>
      </c>
      <c r="AH147" s="3" t="e">
        <f t="shared" si="12"/>
        <v>#N/A</v>
      </c>
      <c r="AI147" s="3" t="e">
        <f>C147+(AB147*Assumptions!$B$15)</f>
        <v>#N/A</v>
      </c>
      <c r="AJ147" s="7" t="e">
        <f t="shared" si="13"/>
        <v>#N/A</v>
      </c>
      <c r="AK147" s="7" t="e">
        <f t="shared" si="14"/>
        <v>#N/A</v>
      </c>
      <c r="AL147" s="3" t="e">
        <f>IF(AND(AD147&gt;0,AK147  &gt; Assumptions!$B$13), "ENTER", "DONT ENTER")</f>
        <v>#N/A</v>
      </c>
    </row>
    <row r="148" spans="1:38" x14ac:dyDescent="0.3">
      <c r="A148" s="38">
        <v>45893</v>
      </c>
      <c r="B148" s="3" t="s">
        <v>27</v>
      </c>
      <c r="C148" s="3" t="e">
        <f>VLOOKUP(A148, Raw_Data_Adani!A:N, 8, FALSE)</f>
        <v>#N/A</v>
      </c>
      <c r="L148" s="37"/>
      <c r="P148" s="3" t="e">
        <f>VLOOKUP(A148, Raw_Data_Adani!AB:AP, 8, FALSE)</f>
        <v>#N/A</v>
      </c>
      <c r="Q148" s="8">
        <f>Assumptions!$B$31</f>
        <v>45897</v>
      </c>
      <c r="R148" s="3">
        <f t="shared" si="20"/>
        <v>4</v>
      </c>
      <c r="S148" s="3" t="e">
        <f>C148*(1+(Assumptions!$B$19*R148/365))</f>
        <v>#N/A</v>
      </c>
      <c r="T148" s="26" t="e">
        <f t="shared" si="21"/>
        <v>#N/A</v>
      </c>
      <c r="U148" s="3" t="e">
        <f>(C148*Assumptions!$B$16)+(P148*Assumptions!$B$17)</f>
        <v>#N/A</v>
      </c>
      <c r="V148" s="3" t="e">
        <f t="shared" si="22"/>
        <v>#N/A</v>
      </c>
      <c r="W148" s="26" t="e">
        <f>C148+(P148*Assumptions!$B$15)</f>
        <v>#N/A</v>
      </c>
      <c r="X148" s="7" t="e">
        <f t="shared" si="23"/>
        <v>#N/A</v>
      </c>
      <c r="Y148" s="7" t="e">
        <f t="shared" si="24"/>
        <v>#N/A</v>
      </c>
      <c r="Z148" s="3" t="e">
        <f>IF(AND(R148&gt;0,Y148  &gt; Assumptions!$B$13), "ENTER", "DONT ENTER")</f>
        <v>#N/A</v>
      </c>
      <c r="AB148" s="3" t="e">
        <f>VLOOKUP(A148, Raw_Data_Adani!AQ:BE, 8, FALSE)</f>
        <v>#N/A</v>
      </c>
      <c r="AC148" s="25">
        <f>Assumptions!$B$32</f>
        <v>45930</v>
      </c>
      <c r="AD148" s="3">
        <f t="shared" si="10"/>
        <v>37</v>
      </c>
      <c r="AE148" s="3" t="e">
        <f>C148*(1+(Assumptions!$B$13*AD148/365))</f>
        <v>#N/A</v>
      </c>
      <c r="AF148" s="3" t="e">
        <f t="shared" si="11"/>
        <v>#N/A</v>
      </c>
      <c r="AG148" s="3" t="e">
        <f>(C148*Assumptions!$B$16)+(AB148*Assumptions!$B$17)</f>
        <v>#N/A</v>
      </c>
      <c r="AH148" s="3" t="e">
        <f t="shared" si="12"/>
        <v>#N/A</v>
      </c>
      <c r="AI148" s="3" t="e">
        <f>C148+(AB148*Assumptions!$B$15)</f>
        <v>#N/A</v>
      </c>
      <c r="AJ148" s="7" t="e">
        <f t="shared" si="13"/>
        <v>#N/A</v>
      </c>
      <c r="AK148" s="7" t="e">
        <f t="shared" si="14"/>
        <v>#N/A</v>
      </c>
      <c r="AL148" s="3" t="e">
        <f>IF(AND(AD148&gt;0,AK148  &gt; Assumptions!$B$13), "ENTER", "DONT ENTER")</f>
        <v>#N/A</v>
      </c>
    </row>
    <row r="149" spans="1:38" x14ac:dyDescent="0.3">
      <c r="A149" s="38">
        <v>45894</v>
      </c>
      <c r="B149" s="3" t="s">
        <v>27</v>
      </c>
      <c r="C149" s="26">
        <f>VLOOKUP(A149, Raw_Data_Adani!A:N, 8, FALSE)</f>
        <v>2302.9</v>
      </c>
      <c r="L149" s="37"/>
      <c r="P149" s="26">
        <f>VLOOKUP(A149, Raw_Data_Adani!AB:AP, 8, FALSE)</f>
        <v>2301.6999999999998</v>
      </c>
      <c r="Q149" s="8">
        <f>Assumptions!$B$31</f>
        <v>45897</v>
      </c>
      <c r="R149" s="3">
        <f t="shared" si="20"/>
        <v>3</v>
      </c>
      <c r="S149" s="3">
        <f>C149*(1+(Assumptions!$B$19*R149/365))</f>
        <v>2302.9946397260273</v>
      </c>
      <c r="T149" s="26">
        <f t="shared" si="21"/>
        <v>-1.2946397260275262</v>
      </c>
      <c r="U149" s="3">
        <f>(C149*Assumptions!$B$16)+(P149*Assumptions!$B$17)</f>
        <v>1.6117900000000001</v>
      </c>
      <c r="V149" s="26">
        <f t="shared" si="22"/>
        <v>-2.9064297260275263</v>
      </c>
      <c r="W149" s="26">
        <f>C149+(P149*Assumptions!$B$15)</f>
        <v>3062.4610000000002</v>
      </c>
      <c r="X149" s="7">
        <f t="shared" si="23"/>
        <v>-9.4905036375239583E-4</v>
      </c>
      <c r="Y149" s="27">
        <f t="shared" si="24"/>
        <v>-0.11546779425654149</v>
      </c>
      <c r="Z149" s="28" t="str">
        <f>IF(AND(R149&gt;0,Y149  &gt; Assumptions!$B$13), "ENTER", "DONT ENTER")</f>
        <v>DONT ENTER</v>
      </c>
      <c r="AB149" s="40">
        <f>VLOOKUP(A149, Raw_Data_Adani!AQ:BE, 8, FALSE)</f>
        <v>2314</v>
      </c>
      <c r="AC149" s="25">
        <f>Assumptions!$B$32</f>
        <v>45930</v>
      </c>
      <c r="AD149" s="3">
        <f t="shared" si="10"/>
        <v>36</v>
      </c>
      <c r="AE149" s="3">
        <f>C149*(1+(Assumptions!$B$13*AD149/365))</f>
        <v>2317.550229589041</v>
      </c>
      <c r="AF149" s="40">
        <f t="shared" si="11"/>
        <v>-3.5502295890410096</v>
      </c>
      <c r="AG149" s="3">
        <f>(C149*Assumptions!$B$16)+(AB149*Assumptions!$B$17)</f>
        <v>1.6142500000000002</v>
      </c>
      <c r="AH149" s="40">
        <f t="shared" si="12"/>
        <v>-5.1644795890410098</v>
      </c>
      <c r="AI149" s="26">
        <f>C149+(AB149*Assumptions!$B$15)</f>
        <v>3066.52</v>
      </c>
      <c r="AJ149" s="7">
        <f t="shared" si="13"/>
        <v>-1.6841499775122973E-3</v>
      </c>
      <c r="AK149" s="27">
        <f t="shared" si="14"/>
        <v>-1.7075409494221903E-2</v>
      </c>
      <c r="AL149" s="28" t="str">
        <f>IF(AND(AD149&gt;0,AK149  &gt; Assumptions!$B$13), "ENTER", "DONT ENTER")</f>
        <v>DONT ENTER</v>
      </c>
    </row>
    <row r="150" spans="1:38" x14ac:dyDescent="0.3">
      <c r="A150" s="25">
        <v>45895</v>
      </c>
      <c r="B150" s="3" t="s">
        <v>27</v>
      </c>
      <c r="C150" s="26">
        <f>VLOOKUP(A150, Raw_Data_Adani!A:N, 8, FALSE)</f>
        <v>2272</v>
      </c>
      <c r="L150" s="37"/>
      <c r="P150" s="26">
        <f>VLOOKUP(A150, Raw_Data_Adani!AB:AP, 8, FALSE)</f>
        <v>2270.6</v>
      </c>
      <c r="Q150" s="8">
        <f>Assumptions!$B$31</f>
        <v>45897</v>
      </c>
      <c r="R150" s="3">
        <f t="shared" si="20"/>
        <v>2</v>
      </c>
      <c r="S150" s="3">
        <f>C150*(1+(Assumptions!$B$19*R150/365))</f>
        <v>2272.0622465753427</v>
      </c>
      <c r="T150" s="26">
        <f t="shared" si="21"/>
        <v>-1.4622465753427605</v>
      </c>
      <c r="U150" s="3">
        <f>(C150*Assumptions!$B$16)+(P150*Assumptions!$B$17)</f>
        <v>1.5901200000000002</v>
      </c>
      <c r="V150" s="26">
        <f t="shared" si="22"/>
        <v>-3.0523665753427607</v>
      </c>
      <c r="W150" s="26">
        <f>C150+(P150*Assumptions!$B$15)</f>
        <v>3021.2979999999998</v>
      </c>
      <c r="X150" s="7">
        <f t="shared" si="23"/>
        <v>-1.0102831880015679E-3</v>
      </c>
      <c r="Y150" s="27">
        <f t="shared" si="24"/>
        <v>-0.18437668181028616</v>
      </c>
      <c r="Z150" s="28" t="str">
        <f>IF(AND(R150&gt;0,Y150  &gt; Assumptions!$B$13), "ENTER", "DONT ENTER")</f>
        <v>DONT ENTER</v>
      </c>
      <c r="AB150" s="40">
        <f>VLOOKUP(A150, Raw_Data_Adani!AQ:BE, 8, FALSE)</f>
        <v>2281.1999999999998</v>
      </c>
      <c r="AC150" s="25">
        <f>Assumptions!$B$32</f>
        <v>45930</v>
      </c>
      <c r="AD150" s="3">
        <f t="shared" si="10"/>
        <v>35</v>
      </c>
      <c r="AE150" s="3">
        <f>C150*(1+(Assumptions!$B$13*AD150/365))</f>
        <v>2286.0521643835618</v>
      </c>
      <c r="AF150" s="40">
        <f t="shared" si="11"/>
        <v>-4.8521643835620125</v>
      </c>
      <c r="AG150" s="3">
        <f>(C150*Assumptions!$B$16)+(AB150*Assumptions!$B$17)</f>
        <v>1.5922400000000001</v>
      </c>
      <c r="AH150" s="40">
        <f t="shared" si="12"/>
        <v>-6.4444043835620128</v>
      </c>
      <c r="AI150" s="26">
        <f>C150+(AB150*Assumptions!$B$15)</f>
        <v>3024.7959999999998</v>
      </c>
      <c r="AJ150" s="7">
        <f t="shared" si="13"/>
        <v>-2.1305252928005766E-3</v>
      </c>
      <c r="AK150" s="27">
        <f t="shared" si="14"/>
        <v>-2.221833519634887E-2</v>
      </c>
      <c r="AL150" s="28" t="str">
        <f>IF(AND(AD150&gt;0,AK150  &gt; Assumptions!$B$13), "ENTER", "DONT ENTER")</f>
        <v>DONT ENTER</v>
      </c>
    </row>
    <row r="151" spans="1:38" x14ac:dyDescent="0.3">
      <c r="A151" s="25">
        <v>45896</v>
      </c>
      <c r="B151" s="3" t="s">
        <v>27</v>
      </c>
      <c r="C151" s="3" t="e">
        <f>VLOOKUP(A151, Raw_Data_Adani!A:N, 8, FALSE)</f>
        <v>#N/A</v>
      </c>
      <c r="L151" s="37"/>
      <c r="P151" s="3" t="e">
        <f>VLOOKUP(A151, Raw_Data_Adani!AB:AP, 8, FALSE)</f>
        <v>#N/A</v>
      </c>
      <c r="Q151" s="8">
        <f>Assumptions!$B$31</f>
        <v>45897</v>
      </c>
      <c r="R151" s="3">
        <f t="shared" si="20"/>
        <v>1</v>
      </c>
      <c r="S151" s="3" t="e">
        <f>C151*(1+(Assumptions!$B$19*R151/365))</f>
        <v>#N/A</v>
      </c>
      <c r="T151" s="26" t="e">
        <f t="shared" si="21"/>
        <v>#N/A</v>
      </c>
      <c r="U151" s="3" t="e">
        <f>(C151*Assumptions!$B$16)+(P151*Assumptions!$B$17)</f>
        <v>#N/A</v>
      </c>
      <c r="V151" s="3" t="e">
        <f t="shared" si="22"/>
        <v>#N/A</v>
      </c>
      <c r="W151" s="26" t="e">
        <f>C151+(P151*Assumptions!$B$15)</f>
        <v>#N/A</v>
      </c>
      <c r="X151" s="7" t="e">
        <f t="shared" si="23"/>
        <v>#N/A</v>
      </c>
      <c r="Y151" s="7" t="e">
        <f t="shared" si="24"/>
        <v>#N/A</v>
      </c>
      <c r="Z151" s="3" t="e">
        <f>IF(AND(R151&gt;0,Y151  &gt; Assumptions!$B$13), "ENTER", "DONT ENTER")</f>
        <v>#N/A</v>
      </c>
      <c r="AB151" s="3" t="e">
        <f>VLOOKUP(A151, Raw_Data_Adani!AQ:BE, 8, FALSE)</f>
        <v>#N/A</v>
      </c>
      <c r="AC151" s="25">
        <f>Assumptions!$B$32</f>
        <v>45930</v>
      </c>
      <c r="AD151" s="3">
        <f t="shared" si="10"/>
        <v>34</v>
      </c>
      <c r="AE151" s="3" t="e">
        <f>C151*(1+(Assumptions!$B$13*AD151/365))</f>
        <v>#N/A</v>
      </c>
      <c r="AF151" s="3" t="e">
        <f t="shared" si="11"/>
        <v>#N/A</v>
      </c>
      <c r="AG151" s="3" t="e">
        <f>(C151*Assumptions!$B$16)+(AB151*Assumptions!$B$17)</f>
        <v>#N/A</v>
      </c>
      <c r="AH151" s="3" t="e">
        <f t="shared" si="12"/>
        <v>#N/A</v>
      </c>
      <c r="AI151" s="3" t="e">
        <f>C151+(AB151*Assumptions!$B$15)</f>
        <v>#N/A</v>
      </c>
      <c r="AJ151" s="7" t="e">
        <f t="shared" si="13"/>
        <v>#N/A</v>
      </c>
      <c r="AK151" s="7" t="e">
        <f t="shared" si="14"/>
        <v>#N/A</v>
      </c>
      <c r="AL151" s="3" t="e">
        <f>IF(AND(AD151&gt;0,AK151  &gt; Assumptions!$B$13), "ENTER", "DONT ENTER")</f>
        <v>#N/A</v>
      </c>
    </row>
    <row r="152" spans="1:38" x14ac:dyDescent="0.3">
      <c r="A152" s="25">
        <v>45897</v>
      </c>
      <c r="B152" s="3" t="s">
        <v>27</v>
      </c>
      <c r="C152" s="26">
        <f>VLOOKUP(A152, Raw_Data_Adani!A:N, 8, FALSE)</f>
        <v>2275.1999999999998</v>
      </c>
      <c r="L152" s="37"/>
      <c r="P152" s="26">
        <f>VLOOKUP(A152, Raw_Data_Adani!AB:AP, 8, FALSE)</f>
        <v>2273.4</v>
      </c>
      <c r="Q152" s="8">
        <f>Assumptions!$B$31</f>
        <v>45897</v>
      </c>
      <c r="R152" s="3">
        <f t="shared" si="20"/>
        <v>0</v>
      </c>
      <c r="S152" s="3">
        <f>C152*(1+(Assumptions!$B$19*R152/365))</f>
        <v>2275.1999999999998</v>
      </c>
      <c r="T152" s="26">
        <f t="shared" si="21"/>
        <v>-1.7999999999997272</v>
      </c>
      <c r="U152" s="3">
        <f>(C152*Assumptions!$B$16)+(P152*Assumptions!$B$17)</f>
        <v>1.5922799999999999</v>
      </c>
      <c r="V152" s="26">
        <f t="shared" si="22"/>
        <v>-3.3922799999997268</v>
      </c>
      <c r="W152" s="26">
        <f>C152+(P152*Assumptions!$B$15)</f>
        <v>3025.422</v>
      </c>
      <c r="X152" s="7">
        <f t="shared" si="23"/>
        <v>-1.1212584558450778E-3</v>
      </c>
      <c r="Y152" s="7" t="e">
        <f t="shared" si="24"/>
        <v>#DIV/0!</v>
      </c>
      <c r="Z152" s="3" t="e">
        <f>IF(AND(R152&gt;0,Y152  &gt; Assumptions!$B$13), "ENTER", "DONT ENTER")</f>
        <v>#DIV/0!</v>
      </c>
      <c r="AB152" s="26">
        <f>VLOOKUP(A152, Raw_Data_Adani!AQ:BE, 8, FALSE)</f>
        <v>2287.1</v>
      </c>
      <c r="AC152" s="25">
        <f>Assumptions!$B$32</f>
        <v>45930</v>
      </c>
      <c r="AD152" s="3">
        <f t="shared" si="10"/>
        <v>33</v>
      </c>
      <c r="AE152" s="3">
        <f>C152*(1+(Assumptions!$B$13*AD152/365))</f>
        <v>2288.4678443835614</v>
      </c>
      <c r="AF152" s="26">
        <f t="shared" si="11"/>
        <v>-1.3678443835615326</v>
      </c>
      <c r="AG152" s="3">
        <f>(C152*Assumptions!$B$16)+(AB152*Assumptions!$B$17)</f>
        <v>1.5950199999999999</v>
      </c>
      <c r="AH152" s="26">
        <f t="shared" si="12"/>
        <v>-2.9628643835615325</v>
      </c>
      <c r="AI152" s="26">
        <f>C152+(AB152*Assumptions!$B$15)</f>
        <v>3029.9429999999998</v>
      </c>
      <c r="AJ152" s="7">
        <f t="shared" si="13"/>
        <v>-9.7786142629136354E-4</v>
      </c>
      <c r="AK152" s="27">
        <f t="shared" si="14"/>
        <v>-1.0815740018071143E-2</v>
      </c>
      <c r="AL152" s="28" t="str">
        <f>IF(AND(AD152&gt;0,AK152  &gt; Assumptions!$B$13), "ENTER", "DONT ENTER")</f>
        <v>DONT ENTER</v>
      </c>
    </row>
    <row r="153" spans="1:38" x14ac:dyDescent="0.3">
      <c r="A153" s="25">
        <v>45898</v>
      </c>
      <c r="B153" s="3" t="s">
        <v>27</v>
      </c>
      <c r="C153" s="26">
        <f>VLOOKUP(A153, Raw_Data_Adani!A:N, 8, FALSE)</f>
        <v>2244.6999999999998</v>
      </c>
      <c r="L153" s="37"/>
      <c r="AB153" s="26">
        <f>VLOOKUP(A153, Raw_Data_Adani!AQ:BE, 8, FALSE)</f>
        <v>2259.3000000000002</v>
      </c>
      <c r="AC153" s="25">
        <f>Assumptions!$B$32</f>
        <v>45930</v>
      </c>
      <c r="AD153" s="3">
        <f t="shared" si="10"/>
        <v>32</v>
      </c>
      <c r="AE153" s="3">
        <f>C153*(1+(Assumptions!$B$13*AD153/365))</f>
        <v>2257.3933172602738</v>
      </c>
      <c r="AF153" s="26">
        <f t="shared" si="11"/>
        <v>1.9066827397264206</v>
      </c>
      <c r="AG153" s="3">
        <f>(C153*Assumptions!$B$16)+(AB153*Assumptions!$B$17)</f>
        <v>1.5742099999999999</v>
      </c>
      <c r="AH153" s="26">
        <f t="shared" si="12"/>
        <v>0.33247273972642066</v>
      </c>
      <c r="AI153" s="26">
        <f>C153+(AB153*Assumptions!$B$15)</f>
        <v>2990.2689999999998</v>
      </c>
      <c r="AJ153" s="7">
        <f t="shared" si="13"/>
        <v>1.1118489330773274E-4</v>
      </c>
      <c r="AK153" s="27">
        <f t="shared" si="14"/>
        <v>1.2682026892913267E-3</v>
      </c>
      <c r="AL153" s="28" t="str">
        <f>IF(AND(AD153&gt;0,AK153  &gt; Assumptions!$B$13), "ENTER", "DONT ENTER")</f>
        <v>DONT ENTER</v>
      </c>
    </row>
    <row r="154" spans="1:38" x14ac:dyDescent="0.3">
      <c r="A154" s="25">
        <v>45899</v>
      </c>
      <c r="B154" s="3" t="s">
        <v>27</v>
      </c>
      <c r="C154" s="3" t="e">
        <f>VLOOKUP(A154, Raw_Data_Adani!A:N, 8, FALSE)</f>
        <v>#N/A</v>
      </c>
      <c r="L154" s="37"/>
      <c r="AB154" s="3" t="e">
        <f>VLOOKUP(A154, Raw_Data_Adani!AQ:BE, 8, FALSE)</f>
        <v>#N/A</v>
      </c>
      <c r="AC154" s="25">
        <f>Assumptions!$B$32</f>
        <v>45930</v>
      </c>
      <c r="AD154" s="3">
        <f t="shared" si="10"/>
        <v>31</v>
      </c>
      <c r="AE154" s="3" t="e">
        <f>C154*(1+(Assumptions!$B$13*AD154/365))</f>
        <v>#N/A</v>
      </c>
      <c r="AF154" s="3" t="e">
        <f t="shared" si="11"/>
        <v>#N/A</v>
      </c>
      <c r="AG154" s="3" t="e">
        <f>(C154*Assumptions!$B$16)+(AB154*Assumptions!$B$17)</f>
        <v>#N/A</v>
      </c>
      <c r="AH154" s="3" t="e">
        <f t="shared" si="12"/>
        <v>#N/A</v>
      </c>
      <c r="AI154" s="3" t="e">
        <f>C154+(AB154*Assumptions!$B$15)</f>
        <v>#N/A</v>
      </c>
      <c r="AJ154" s="7" t="e">
        <f t="shared" si="13"/>
        <v>#N/A</v>
      </c>
      <c r="AK154" s="7" t="e">
        <f t="shared" si="14"/>
        <v>#N/A</v>
      </c>
      <c r="AL154" s="3" t="e">
        <f>IF(AND(AD154&gt;0,AK154  &gt; Assumptions!$B$13), "ENTER", "DONT ENTER")</f>
        <v>#N/A</v>
      </c>
    </row>
    <row r="155" spans="1:38" x14ac:dyDescent="0.3">
      <c r="A155" s="25">
        <v>45900</v>
      </c>
      <c r="B155" s="3" t="s">
        <v>27</v>
      </c>
      <c r="C155" s="3" t="e">
        <f>VLOOKUP(A155, Raw_Data_Adani!A:N, 8, FALSE)</f>
        <v>#N/A</v>
      </c>
      <c r="L155" s="37"/>
      <c r="AB155" s="3" t="e">
        <f>VLOOKUP(A155, Raw_Data_Adani!AQ:BE, 8, FALSE)</f>
        <v>#N/A</v>
      </c>
      <c r="AC155" s="25">
        <f>Assumptions!$B$32</f>
        <v>45930</v>
      </c>
      <c r="AD155" s="3">
        <f t="shared" si="10"/>
        <v>30</v>
      </c>
      <c r="AE155" s="3" t="e">
        <f>C155*(1+(Assumptions!$B$13*AD155/365))</f>
        <v>#N/A</v>
      </c>
      <c r="AF155" s="3" t="e">
        <f t="shared" si="11"/>
        <v>#N/A</v>
      </c>
      <c r="AG155" s="3" t="e">
        <f>(C155*Assumptions!$B$16)+(AB155*Assumptions!$B$17)</f>
        <v>#N/A</v>
      </c>
      <c r="AH155" s="3" t="e">
        <f t="shared" si="12"/>
        <v>#N/A</v>
      </c>
      <c r="AI155" s="3" t="e">
        <f>C155+(AB155*Assumptions!$B$15)</f>
        <v>#N/A</v>
      </c>
      <c r="AJ155" s="7" t="e">
        <f t="shared" si="13"/>
        <v>#N/A</v>
      </c>
      <c r="AK155" s="7" t="e">
        <f t="shared" si="14"/>
        <v>#N/A</v>
      </c>
      <c r="AL155" s="3" t="e">
        <f>IF(AND(AD155&gt;0,AK155  &gt; Assumptions!$B$13), "ENTER", "DONT ENTER")</f>
        <v>#N/A</v>
      </c>
    </row>
    <row r="156" spans="1:38" x14ac:dyDescent="0.3">
      <c r="A156" s="25">
        <v>45901</v>
      </c>
      <c r="B156" s="3" t="s">
        <v>27</v>
      </c>
      <c r="C156" s="26">
        <f>VLOOKUP(A156, Raw_Data_Adani!A:N, 8, FALSE)</f>
        <v>2284.1999999999998</v>
      </c>
      <c r="L156" s="37"/>
      <c r="AB156" s="40">
        <f>VLOOKUP(A156, Raw_Data_Adani!AQ:BE, 8, FALSE)</f>
        <v>2295.8000000000002</v>
      </c>
      <c r="AC156" s="25">
        <f>Assumptions!$B$32</f>
        <v>45930</v>
      </c>
      <c r="AD156" s="3">
        <f t="shared" si="10"/>
        <v>29</v>
      </c>
      <c r="AE156" s="3">
        <f>C156*(1+(Assumptions!$B$13*AD156/365))</f>
        <v>2295.9057427397256</v>
      </c>
      <c r="AF156" s="40">
        <f t="shared" si="11"/>
        <v>-0.10574273972542869</v>
      </c>
      <c r="AG156" s="3">
        <f>(C156*Assumptions!$B$16)+(AB156*Assumptions!$B$17)</f>
        <v>1.6012599999999999</v>
      </c>
      <c r="AH156" s="40">
        <f t="shared" si="12"/>
        <v>-1.7070027397254286</v>
      </c>
      <c r="AI156" s="26">
        <f>C156+(AB156*Assumptions!$B$15)</f>
        <v>3041.8139999999999</v>
      </c>
      <c r="AJ156" s="7">
        <f t="shared" si="13"/>
        <v>-5.6117919758585791E-4</v>
      </c>
      <c r="AK156" s="27">
        <f t="shared" si="14"/>
        <v>-7.0631174868564872E-3</v>
      </c>
      <c r="AL156" s="28" t="str">
        <f>IF(AND(AD156&gt;0,AK156  &gt; Assumptions!$B$13), "ENTER", "DONT ENTER")</f>
        <v>DONT ENTER</v>
      </c>
    </row>
    <row r="157" spans="1:38" x14ac:dyDescent="0.3">
      <c r="A157" s="25">
        <v>45902</v>
      </c>
      <c r="B157" s="3" t="s">
        <v>27</v>
      </c>
      <c r="C157" s="26">
        <f>VLOOKUP(A157, Raw_Data_Adani!A:N, 8, FALSE)</f>
        <v>2274.1999999999998</v>
      </c>
      <c r="L157" s="37"/>
      <c r="AB157" s="40">
        <f>VLOOKUP(A157, Raw_Data_Adani!AQ:BE, 8, FALSE)</f>
        <v>2284.1</v>
      </c>
      <c r="AC157" s="25">
        <f>Assumptions!$B$32</f>
        <v>45930</v>
      </c>
      <c r="AD157" s="3">
        <f t="shared" si="10"/>
        <v>28</v>
      </c>
      <c r="AE157" s="3">
        <f>C157*(1+(Assumptions!$B$13*AD157/365))</f>
        <v>2285.4526169863011</v>
      </c>
      <c r="AF157" s="40">
        <f t="shared" si="11"/>
        <v>-1.3526169863012001</v>
      </c>
      <c r="AG157" s="3">
        <f>(C157*Assumptions!$B$16)+(AB157*Assumptions!$B$17)</f>
        <v>1.59392</v>
      </c>
      <c r="AH157" s="40">
        <f t="shared" si="12"/>
        <v>-2.9465369863011999</v>
      </c>
      <c r="AI157" s="26">
        <f>C157+(AB157*Assumptions!$B$15)</f>
        <v>3027.953</v>
      </c>
      <c r="AJ157" s="7">
        <f t="shared" si="13"/>
        <v>-9.7311186346062833E-4</v>
      </c>
      <c r="AK157" s="27">
        <f t="shared" si="14"/>
        <v>-1.2685208220111762E-2</v>
      </c>
      <c r="AL157" s="28" t="str">
        <f>IF(AND(AD157&gt;0,AK157  &gt; Assumptions!$B$13), "ENTER", "DONT ENTER")</f>
        <v>DONT ENTER</v>
      </c>
    </row>
    <row r="158" spans="1:38" x14ac:dyDescent="0.3">
      <c r="A158" s="25">
        <v>45903</v>
      </c>
      <c r="B158" s="3" t="s">
        <v>27</v>
      </c>
      <c r="C158" s="26">
        <f>VLOOKUP(A158, Raw_Data_Adani!A:N, 8, FALSE)</f>
        <v>2288.6999999999998</v>
      </c>
      <c r="L158" s="37"/>
      <c r="AB158" s="40">
        <f>VLOOKUP(A158, Raw_Data_Adani!AQ:BE, 8, FALSE)</f>
        <v>2300.5</v>
      </c>
      <c r="AC158" s="25">
        <f>Assumptions!$B$32</f>
        <v>45930</v>
      </c>
      <c r="AD158" s="3">
        <f t="shared" si="10"/>
        <v>27</v>
      </c>
      <c r="AE158" s="3">
        <f>C158*(1+(Assumptions!$B$13*AD158/365))</f>
        <v>2299.6199206849315</v>
      </c>
      <c r="AF158" s="40">
        <f t="shared" si="11"/>
        <v>0.8800793150685422</v>
      </c>
      <c r="AG158" s="3">
        <f>(C158*Assumptions!$B$16)+(AB158*Assumptions!$B$17)</f>
        <v>1.6044499999999999</v>
      </c>
      <c r="AH158" s="40">
        <f t="shared" si="12"/>
        <v>-0.72437068493145773</v>
      </c>
      <c r="AI158" s="26">
        <f>C158+(AB158*Assumptions!$B$15)</f>
        <v>3047.8649999999998</v>
      </c>
      <c r="AJ158" s="7">
        <f t="shared" si="13"/>
        <v>-2.3766495068891101E-4</v>
      </c>
      <c r="AK158" s="27">
        <f t="shared" si="14"/>
        <v>-3.2128780370908341E-3</v>
      </c>
      <c r="AL158" s="28" t="str">
        <f>IF(AND(AD158&gt;0,AK158  &gt; Assumptions!$B$13), "ENTER", "DONT ENTER")</f>
        <v>DONT ENTER</v>
      </c>
    </row>
    <row r="159" spans="1:38" x14ac:dyDescent="0.3">
      <c r="A159" s="25">
        <v>45904</v>
      </c>
      <c r="B159" s="3" t="s">
        <v>27</v>
      </c>
      <c r="C159" s="26">
        <f>VLOOKUP(A159, Raw_Data_Adani!A:N, 8, FALSE)</f>
        <v>2278.8000000000002</v>
      </c>
      <c r="L159" s="37"/>
      <c r="AB159" s="40">
        <f>VLOOKUP(A159, Raw_Data_Adani!AQ:BE, 8, FALSE)</f>
        <v>2286.9</v>
      </c>
      <c r="AC159" s="25">
        <f>Assumptions!$B$32</f>
        <v>45930</v>
      </c>
      <c r="AD159" s="3">
        <f t="shared" si="10"/>
        <v>26</v>
      </c>
      <c r="AE159" s="3">
        <f>C159*(1+(Assumptions!$B$13*AD159/365))</f>
        <v>2289.2699934246575</v>
      </c>
      <c r="AF159" s="40">
        <f t="shared" si="11"/>
        <v>-2.369993424657423</v>
      </c>
      <c r="AG159" s="3">
        <f>(C159*Assumptions!$B$16)+(AB159*Assumptions!$B$17)</f>
        <v>1.5967800000000003</v>
      </c>
      <c r="AH159" s="40">
        <f t="shared" si="12"/>
        <v>-3.9667734246574233</v>
      </c>
      <c r="AI159" s="26">
        <f>C159+(AB159*Assumptions!$B$15)</f>
        <v>3033.4770000000003</v>
      </c>
      <c r="AJ159" s="7">
        <f t="shared" si="13"/>
        <v>-1.3076655681442196E-3</v>
      </c>
      <c r="AK159" s="27">
        <f t="shared" si="14"/>
        <v>-1.8357612783563081E-2</v>
      </c>
      <c r="AL159" s="28" t="str">
        <f>IF(AND(AD159&gt;0,AK159  &gt; Assumptions!$B$13), "ENTER", "DONT ENTER")</f>
        <v>DONT ENTER</v>
      </c>
    </row>
    <row r="160" spans="1:38" x14ac:dyDescent="0.3">
      <c r="A160" s="25">
        <v>45905</v>
      </c>
      <c r="B160" s="3" t="s">
        <v>27</v>
      </c>
      <c r="C160" s="26">
        <f>VLOOKUP(A160, Raw_Data_Adani!A:N, 8, FALSE)</f>
        <v>2281.4</v>
      </c>
      <c r="L160" s="37"/>
      <c r="AB160" s="40">
        <f>VLOOKUP(A160, Raw_Data_Adani!AQ:BE, 8, FALSE)</f>
        <v>2292.5</v>
      </c>
      <c r="AC160" s="25">
        <f>Assumptions!$B$32</f>
        <v>45930</v>
      </c>
      <c r="AD160" s="3">
        <f t="shared" si="10"/>
        <v>25</v>
      </c>
      <c r="AE160" s="3">
        <f>C160*(1+(Assumptions!$B$13*AD160/365))</f>
        <v>2291.478787671233</v>
      </c>
      <c r="AF160" s="40">
        <f t="shared" si="11"/>
        <v>1.0212123287669783</v>
      </c>
      <c r="AG160" s="3">
        <f>(C160*Assumptions!$B$16)+(AB160*Assumptions!$B$17)</f>
        <v>1.5992000000000002</v>
      </c>
      <c r="AH160" s="40">
        <f t="shared" si="12"/>
        <v>-0.57798767123302186</v>
      </c>
      <c r="AI160" s="26">
        <f>C160+(AB160*Assumptions!$B$15)</f>
        <v>3037.9250000000002</v>
      </c>
      <c r="AJ160" s="7">
        <f t="shared" si="13"/>
        <v>-1.9025738661521328E-4</v>
      </c>
      <c r="AK160" s="27">
        <f t="shared" si="14"/>
        <v>-2.7777578445821139E-3</v>
      </c>
      <c r="AL160" s="28" t="str">
        <f>IF(AND(AD160&gt;0,AK160  &gt; Assumptions!$B$13), "ENTER", "DONT ENTER")</f>
        <v>DONT ENTER</v>
      </c>
    </row>
    <row r="161" spans="1:38" x14ac:dyDescent="0.3">
      <c r="A161" s="25">
        <v>45906</v>
      </c>
      <c r="B161" s="3" t="s">
        <v>27</v>
      </c>
      <c r="C161" s="3" t="e">
        <f>VLOOKUP(A161, Raw_Data_Adani!A:N, 8, FALSE)</f>
        <v>#N/A</v>
      </c>
      <c r="L161" s="37"/>
      <c r="AB161" s="3" t="e">
        <f>VLOOKUP(A161, Raw_Data_Adani!AQ:BE, 8, FALSE)</f>
        <v>#N/A</v>
      </c>
      <c r="AC161" s="25">
        <f>Assumptions!$B$32</f>
        <v>45930</v>
      </c>
      <c r="AD161" s="3">
        <f t="shared" si="10"/>
        <v>24</v>
      </c>
      <c r="AE161" s="3" t="e">
        <f>C161*(1+(Assumptions!$B$13*AD161/365))</f>
        <v>#N/A</v>
      </c>
      <c r="AF161" s="3" t="e">
        <f t="shared" si="11"/>
        <v>#N/A</v>
      </c>
      <c r="AG161" s="3" t="e">
        <f>(C161*Assumptions!$B$16)+(AB161*Assumptions!$B$17)</f>
        <v>#N/A</v>
      </c>
      <c r="AH161" s="3" t="e">
        <f t="shared" si="12"/>
        <v>#N/A</v>
      </c>
      <c r="AI161" s="3" t="e">
        <f>C161+(AB161*Assumptions!$B$15)</f>
        <v>#N/A</v>
      </c>
      <c r="AJ161" s="7" t="e">
        <f t="shared" si="13"/>
        <v>#N/A</v>
      </c>
      <c r="AK161" s="7" t="e">
        <f t="shared" si="14"/>
        <v>#N/A</v>
      </c>
      <c r="AL161" s="3" t="e">
        <f>IF(AND(AD161&gt;0,AK161  &gt; Assumptions!$B$13), "ENTER", "DONT ENTER")</f>
        <v>#N/A</v>
      </c>
    </row>
    <row r="162" spans="1:38" x14ac:dyDescent="0.3">
      <c r="A162" s="25">
        <v>45907</v>
      </c>
      <c r="B162" s="3" t="s">
        <v>27</v>
      </c>
      <c r="C162" s="3" t="e">
        <f>VLOOKUP(A162, Raw_Data_Adani!A:N, 8, FALSE)</f>
        <v>#N/A</v>
      </c>
      <c r="L162" s="37"/>
      <c r="AB162" s="3" t="e">
        <f>VLOOKUP(A162, Raw_Data_Adani!AQ:BE, 8, FALSE)</f>
        <v>#N/A</v>
      </c>
      <c r="AC162" s="25">
        <f>Assumptions!$B$32</f>
        <v>45930</v>
      </c>
      <c r="AD162" s="3">
        <f t="shared" si="10"/>
        <v>23</v>
      </c>
      <c r="AE162" s="3" t="e">
        <f>C162*(1+(Assumptions!$B$13*AD162/365))</f>
        <v>#N/A</v>
      </c>
      <c r="AF162" s="3" t="e">
        <f t="shared" si="11"/>
        <v>#N/A</v>
      </c>
      <c r="AG162" s="3" t="e">
        <f>(C162*Assumptions!$B$16)+(AB162*Assumptions!$B$17)</f>
        <v>#N/A</v>
      </c>
      <c r="AH162" s="3" t="e">
        <f t="shared" si="12"/>
        <v>#N/A</v>
      </c>
      <c r="AI162" s="3" t="e">
        <f>C162+(AB162*Assumptions!$B$15)</f>
        <v>#N/A</v>
      </c>
      <c r="AJ162" s="7" t="e">
        <f t="shared" si="13"/>
        <v>#N/A</v>
      </c>
      <c r="AK162" s="7" t="e">
        <f t="shared" si="14"/>
        <v>#N/A</v>
      </c>
      <c r="AL162" s="3" t="e">
        <f>IF(AND(AD162&gt;0,AK162  &gt; Assumptions!$B$13), "ENTER", "DONT ENTER")</f>
        <v>#N/A</v>
      </c>
    </row>
    <row r="163" spans="1:38" x14ac:dyDescent="0.3">
      <c r="A163" s="25">
        <v>45908</v>
      </c>
      <c r="B163" s="3" t="s">
        <v>27</v>
      </c>
      <c r="C163" s="26">
        <f>VLOOKUP(A163, Raw_Data_Adani!A:N, 8, FALSE)</f>
        <v>2310.9</v>
      </c>
      <c r="L163" s="37"/>
      <c r="AB163" s="40">
        <f>VLOOKUP(A163, Raw_Data_Adani!AQ:BE, 8, FALSE)</f>
        <v>2323.9</v>
      </c>
      <c r="AC163" s="25">
        <f>Assumptions!$B$32</f>
        <v>45930</v>
      </c>
      <c r="AD163" s="3">
        <f t="shared" si="10"/>
        <v>22</v>
      </c>
      <c r="AE163" s="3">
        <f>C163*(1+(Assumptions!$B$13*AD163/365))</f>
        <v>2319.8840194520553</v>
      </c>
      <c r="AF163" s="40">
        <f t="shared" si="11"/>
        <v>4.0159805479447641</v>
      </c>
      <c r="AG163" s="3">
        <f>(C163*Assumptions!$B$16)+(AB163*Assumptions!$B$17)</f>
        <v>1.6202300000000001</v>
      </c>
      <c r="AH163" s="40">
        <f t="shared" si="12"/>
        <v>2.3957505479447638</v>
      </c>
      <c r="AI163" s="26">
        <f>C163+(AB163*Assumptions!$B$15)</f>
        <v>3077.7870000000003</v>
      </c>
      <c r="AJ163" s="7">
        <f t="shared" si="13"/>
        <v>7.7840037271739845E-4</v>
      </c>
      <c r="AK163" s="27">
        <f t="shared" si="14"/>
        <v>1.291436982008411E-2</v>
      </c>
      <c r="AL163" s="28" t="str">
        <f>IF(AND(AD163&gt;0,AK163  &gt; Assumptions!$B$13), "ENTER", "DONT ENTER")</f>
        <v>DONT ENTER</v>
      </c>
    </row>
    <row r="164" spans="1:38" x14ac:dyDescent="0.3">
      <c r="A164" s="25">
        <v>45909</v>
      </c>
      <c r="B164" s="3" t="s">
        <v>27</v>
      </c>
      <c r="C164" s="26">
        <f>VLOOKUP(A164, Raw_Data_Adani!A:N, 8, FALSE)</f>
        <v>2311.6</v>
      </c>
      <c r="L164" s="37"/>
      <c r="AB164" s="40">
        <f>VLOOKUP(A164, Raw_Data_Adani!AQ:BE, 8, FALSE)</f>
        <v>2317.9</v>
      </c>
      <c r="AC164" s="25">
        <f>Assumptions!$B$32</f>
        <v>45930</v>
      </c>
      <c r="AD164" s="3">
        <f t="shared" si="10"/>
        <v>21</v>
      </c>
      <c r="AE164" s="3">
        <f>C164*(1+(Assumptions!$B$13*AD164/365))</f>
        <v>2320.1782526027396</v>
      </c>
      <c r="AF164" s="40">
        <f t="shared" si="11"/>
        <v>-2.2782526027394852</v>
      </c>
      <c r="AG164" s="3">
        <f>(C164*Assumptions!$B$16)+(AB164*Assumptions!$B$17)</f>
        <v>1.61938</v>
      </c>
      <c r="AH164" s="40">
        <f t="shared" si="12"/>
        <v>-3.8976326027394852</v>
      </c>
      <c r="AI164" s="26">
        <f>C164+(AB164*Assumptions!$B$15)</f>
        <v>3076.5070000000001</v>
      </c>
      <c r="AJ164" s="7">
        <f t="shared" si="13"/>
        <v>-1.2669019127014777E-3</v>
      </c>
      <c r="AK164" s="27">
        <f t="shared" si="14"/>
        <v>-2.2019961816001875E-2</v>
      </c>
      <c r="AL164" s="28" t="str">
        <f>IF(AND(AD164&gt;0,AK164  &gt; Assumptions!$B$13), "ENTER", "DONT ENTER")</f>
        <v>DONT ENTER</v>
      </c>
    </row>
    <row r="165" spans="1:38" x14ac:dyDescent="0.3">
      <c r="A165" s="25">
        <v>45910</v>
      </c>
      <c r="B165" s="3" t="s">
        <v>27</v>
      </c>
      <c r="C165" s="26">
        <f>VLOOKUP(A165, Raw_Data_Adani!A:N, 8, FALSE)</f>
        <v>2340.1999999999998</v>
      </c>
      <c r="L165" s="37"/>
      <c r="AB165" s="40">
        <f>VLOOKUP(A165, Raw_Data_Adani!AQ:BE, 8, FALSE)</f>
        <v>2351.9</v>
      </c>
      <c r="AC165" s="25">
        <f>Assumptions!$B$32</f>
        <v>45930</v>
      </c>
      <c r="AD165" s="3">
        <f t="shared" si="10"/>
        <v>20</v>
      </c>
      <c r="AE165" s="3">
        <f>C165*(1+(Assumptions!$B$13*AD165/365))</f>
        <v>2348.4708438356165</v>
      </c>
      <c r="AF165" s="40">
        <f t="shared" si="11"/>
        <v>3.4291561643835848</v>
      </c>
      <c r="AG165" s="3">
        <f>(C165*Assumptions!$B$16)+(AB165*Assumptions!$B$17)</f>
        <v>1.6404799999999999</v>
      </c>
      <c r="AH165" s="40">
        <f t="shared" si="12"/>
        <v>1.7886761643835849</v>
      </c>
      <c r="AI165" s="26">
        <f>C165+(AB165*Assumptions!$B$15)</f>
        <v>3116.3269999999998</v>
      </c>
      <c r="AJ165" s="7">
        <f t="shared" si="13"/>
        <v>5.7396934416175998E-4</v>
      </c>
      <c r="AK165" s="27">
        <f t="shared" si="14"/>
        <v>1.0474940530952119E-2</v>
      </c>
      <c r="AL165" s="28" t="str">
        <f>IF(AND(AD165&gt;0,AK165  &gt; Assumptions!$B$13), "ENTER", "DONT ENTER")</f>
        <v>DONT ENTER</v>
      </c>
    </row>
    <row r="166" spans="1:38" x14ac:dyDescent="0.3">
      <c r="A166" s="25">
        <v>45911</v>
      </c>
      <c r="B166" s="3" t="s">
        <v>27</v>
      </c>
      <c r="C166" s="26">
        <f>VLOOKUP(A166, Raw_Data_Adani!A:N, 8, FALSE)</f>
        <v>2398.8000000000002</v>
      </c>
      <c r="L166" s="37"/>
      <c r="AB166" s="40">
        <f>VLOOKUP(A166, Raw_Data_Adani!AQ:BE, 8, FALSE)</f>
        <v>2406.4</v>
      </c>
      <c r="AC166" s="25">
        <f>Assumptions!$B$32</f>
        <v>45930</v>
      </c>
      <c r="AD166" s="3">
        <f t="shared" si="10"/>
        <v>19</v>
      </c>
      <c r="AE166" s="3">
        <f>C166*(1+(Assumptions!$B$13*AD166/365))</f>
        <v>2406.8540531506851</v>
      </c>
      <c r="AF166" s="40">
        <f t="shared" si="11"/>
        <v>-0.45405315068501295</v>
      </c>
      <c r="AG166" s="3">
        <f>(C166*Assumptions!$B$16)+(AB166*Assumptions!$B$17)</f>
        <v>1.6806800000000002</v>
      </c>
      <c r="AH166" s="40">
        <f t="shared" si="12"/>
        <v>-2.1347331506850131</v>
      </c>
      <c r="AI166" s="26">
        <f>C166+(AB166*Assumptions!$B$15)</f>
        <v>3192.9120000000003</v>
      </c>
      <c r="AJ166" s="7">
        <f t="shared" si="13"/>
        <v>-6.685850254203727E-4</v>
      </c>
      <c r="AK166" s="27">
        <f t="shared" si="14"/>
        <v>-1.2843870225180843E-2</v>
      </c>
      <c r="AL166" s="28" t="str">
        <f>IF(AND(AD166&gt;0,AK166  &gt; Assumptions!$B$13), "ENTER", "DONT ENTER")</f>
        <v>DONT ENTER</v>
      </c>
    </row>
    <row r="167" spans="1:38" x14ac:dyDescent="0.3">
      <c r="A167" s="25">
        <v>45912</v>
      </c>
      <c r="B167" s="3" t="s">
        <v>27</v>
      </c>
      <c r="C167" s="26">
        <f>VLOOKUP(A167, Raw_Data_Adani!A:N, 8, FALSE)</f>
        <v>2392</v>
      </c>
      <c r="L167" s="37"/>
      <c r="AB167" s="40">
        <f>VLOOKUP(A167, Raw_Data_Adani!AQ:BE, 8, FALSE)</f>
        <v>2397.4</v>
      </c>
      <c r="AC167" s="25">
        <f>Assumptions!$B$32</f>
        <v>45930</v>
      </c>
      <c r="AD167" s="3">
        <f t="shared" si="10"/>
        <v>18</v>
      </c>
      <c r="AE167" s="3">
        <f>C167*(1+(Assumptions!$B$13*AD167/365))</f>
        <v>2399.6085260273971</v>
      </c>
      <c r="AF167" s="40">
        <f t="shared" si="11"/>
        <v>-2.2085260273970562</v>
      </c>
      <c r="AG167" s="3">
        <f>(C167*Assumptions!$B$16)+(AB167*Assumptions!$B$17)</f>
        <v>1.6754799999999999</v>
      </c>
      <c r="AH167" s="40">
        <f t="shared" si="12"/>
        <v>-3.884006027397056</v>
      </c>
      <c r="AI167" s="26">
        <f>C167+(AB167*Assumptions!$B$15)</f>
        <v>3183.1419999999998</v>
      </c>
      <c r="AJ167" s="7">
        <f t="shared" si="13"/>
        <v>-1.220179944029219E-3</v>
      </c>
      <c r="AK167" s="27">
        <f t="shared" si="14"/>
        <v>-2.474253775392583E-2</v>
      </c>
      <c r="AL167" s="28" t="str">
        <f>IF(AND(AD167&gt;0,AK167  &gt; Assumptions!$B$13), "ENTER", "DONT ENTER")</f>
        <v>DONT ENTER</v>
      </c>
    </row>
    <row r="168" spans="1:38" x14ac:dyDescent="0.3">
      <c r="A168" s="25">
        <v>45913</v>
      </c>
      <c r="B168" s="3" t="s">
        <v>27</v>
      </c>
      <c r="C168" s="3" t="e">
        <f>VLOOKUP(A168, Raw_Data_Adani!A:N, 8, FALSE)</f>
        <v>#N/A</v>
      </c>
      <c r="L168" s="37"/>
      <c r="AB168" s="3" t="e">
        <f>VLOOKUP(A168, Raw_Data_Adani!AQ:BE, 8, FALSE)</f>
        <v>#N/A</v>
      </c>
      <c r="AC168" s="25">
        <f>Assumptions!$B$32</f>
        <v>45930</v>
      </c>
      <c r="AD168" s="3">
        <f t="shared" si="10"/>
        <v>17</v>
      </c>
      <c r="AE168" s="3" t="e">
        <f>C168*(1+(Assumptions!$B$13*AD168/365))</f>
        <v>#N/A</v>
      </c>
      <c r="AF168" s="3" t="e">
        <f t="shared" si="11"/>
        <v>#N/A</v>
      </c>
      <c r="AG168" s="3" t="e">
        <f>(C168*Assumptions!$B$16)+(AB168*Assumptions!$B$17)</f>
        <v>#N/A</v>
      </c>
      <c r="AH168" s="3" t="e">
        <f t="shared" si="12"/>
        <v>#N/A</v>
      </c>
      <c r="AI168" s="3" t="e">
        <f>C168+(AB168*Assumptions!$B$15)</f>
        <v>#N/A</v>
      </c>
      <c r="AJ168" s="7" t="e">
        <f t="shared" si="13"/>
        <v>#N/A</v>
      </c>
      <c r="AK168" s="7" t="e">
        <f t="shared" si="14"/>
        <v>#N/A</v>
      </c>
      <c r="AL168" s="3" t="e">
        <f>IF(AND(AD168&gt;0,AK168  &gt; Assumptions!$B$13), "ENTER", "DONT ENTER")</f>
        <v>#N/A</v>
      </c>
    </row>
    <row r="169" spans="1:38" x14ac:dyDescent="0.3">
      <c r="A169" s="25">
        <v>45914</v>
      </c>
      <c r="B169" s="3" t="s">
        <v>27</v>
      </c>
      <c r="C169" s="3" t="e">
        <f>VLOOKUP(A169, Raw_Data_Adani!A:N, 8, FALSE)</f>
        <v>#N/A</v>
      </c>
      <c r="L169" s="37"/>
      <c r="AB169" s="3" t="e">
        <f>VLOOKUP(A169, Raw_Data_Adani!AQ:BE, 8, FALSE)</f>
        <v>#N/A</v>
      </c>
      <c r="AC169" s="25">
        <f>Assumptions!$B$32</f>
        <v>45930</v>
      </c>
      <c r="AD169" s="3">
        <f t="shared" si="10"/>
        <v>16</v>
      </c>
      <c r="AE169" s="3" t="e">
        <f>C169*(1+(Assumptions!$B$13*AD169/365))</f>
        <v>#N/A</v>
      </c>
      <c r="AF169" s="3" t="e">
        <f t="shared" si="11"/>
        <v>#N/A</v>
      </c>
      <c r="AG169" s="3" t="e">
        <f>(C169*Assumptions!$B$16)+(AB169*Assumptions!$B$17)</f>
        <v>#N/A</v>
      </c>
      <c r="AH169" s="3" t="e">
        <f t="shared" si="12"/>
        <v>#N/A</v>
      </c>
      <c r="AI169" s="3" t="e">
        <f>C169+(AB169*Assumptions!$B$15)</f>
        <v>#N/A</v>
      </c>
      <c r="AJ169" s="7" t="e">
        <f t="shared" si="13"/>
        <v>#N/A</v>
      </c>
      <c r="AK169" s="7" t="e">
        <f t="shared" si="14"/>
        <v>#N/A</v>
      </c>
      <c r="AL169" s="3" t="e">
        <f>IF(AND(AD169&gt;0,AK169  &gt; Assumptions!$B$13), "ENTER", "DONT ENTER")</f>
        <v>#N/A</v>
      </c>
    </row>
    <row r="170" spans="1:38" x14ac:dyDescent="0.3">
      <c r="A170" s="25">
        <v>45915</v>
      </c>
      <c r="B170" s="3" t="s">
        <v>27</v>
      </c>
      <c r="C170" s="26">
        <f>VLOOKUP(A170, Raw_Data_Adani!A:N, 8, FALSE)</f>
        <v>2383.4</v>
      </c>
      <c r="L170" s="37"/>
      <c r="AB170" s="40">
        <f>VLOOKUP(A170, Raw_Data_Adani!AQ:BE, 8, FALSE)</f>
        <v>2392.1999999999998</v>
      </c>
      <c r="AC170" s="25">
        <f>Assumptions!$B$32</f>
        <v>45930</v>
      </c>
      <c r="AD170" s="3">
        <f t="shared" si="10"/>
        <v>15</v>
      </c>
      <c r="AE170" s="3">
        <f>C170*(1+(Assumptions!$B$13*AD170/365))</f>
        <v>2389.7176424657537</v>
      </c>
      <c r="AF170" s="40">
        <f t="shared" si="11"/>
        <v>2.4823575342461481</v>
      </c>
      <c r="AG170" s="3">
        <f>(C170*Assumptions!$B$16)+(AB170*Assumptions!$B$17)</f>
        <v>1.67014</v>
      </c>
      <c r="AH170" s="40">
        <f t="shared" si="12"/>
        <v>0.81221753424614818</v>
      </c>
      <c r="AI170" s="26">
        <f>C170+(AB170*Assumptions!$B$15)</f>
        <v>3172.826</v>
      </c>
      <c r="AJ170" s="7">
        <f t="shared" si="13"/>
        <v>2.5599183007393034E-4</v>
      </c>
      <c r="AK170" s="27">
        <f t="shared" si="14"/>
        <v>6.2291345317989711E-3</v>
      </c>
      <c r="AL170" s="28" t="str">
        <f>IF(AND(AD170&gt;0,AK170  &gt; Assumptions!$B$13), "ENTER", "DONT ENTER")</f>
        <v>DONT ENTER</v>
      </c>
    </row>
    <row r="171" spans="1:38" x14ac:dyDescent="0.3">
      <c r="A171" s="25">
        <v>45916</v>
      </c>
      <c r="B171" s="3" t="s">
        <v>27</v>
      </c>
      <c r="C171" s="26">
        <f>VLOOKUP(A171, Raw_Data_Adani!A:N, 8, FALSE)</f>
        <v>2399.4</v>
      </c>
      <c r="L171" s="37"/>
      <c r="AB171" s="26">
        <f>VLOOKUP(A171, Raw_Data_Adani!AQ:BE, 8, FALSE)</f>
        <v>2408.6999999999998</v>
      </c>
      <c r="AC171" s="25">
        <f>Assumptions!$B$32</f>
        <v>45930</v>
      </c>
      <c r="AD171" s="3">
        <f t="shared" si="10"/>
        <v>14</v>
      </c>
      <c r="AE171" s="3">
        <f>C171*(1+(Assumptions!$B$13*AD171/365))</f>
        <v>2405.3360498630136</v>
      </c>
      <c r="AF171" s="26">
        <f t="shared" si="11"/>
        <v>3.3639501369862046</v>
      </c>
      <c r="AG171" s="3">
        <f>(C171*Assumptions!$B$16)+(AB171*Assumptions!$B$17)</f>
        <v>1.68144</v>
      </c>
      <c r="AH171" s="26">
        <f t="shared" si="12"/>
        <v>1.6825101369862046</v>
      </c>
      <c r="AI171" s="26">
        <f>C171+(AB171*Assumptions!$B$15)</f>
        <v>3194.2710000000002</v>
      </c>
      <c r="AJ171" s="7">
        <f t="shared" si="13"/>
        <v>5.2672742450036471E-4</v>
      </c>
      <c r="AK171" s="27">
        <f t="shared" si="14"/>
        <v>1.3732536424473795E-2</v>
      </c>
      <c r="AL171" s="28" t="str">
        <f>IF(AND(AD171&gt;0,AK171  &gt; Assumptions!$B$13), "ENTER", "DONT ENTER")</f>
        <v>DONT ENTER</v>
      </c>
    </row>
    <row r="172" spans="1:38" x14ac:dyDescent="0.3">
      <c r="A172" s="25">
        <v>45917</v>
      </c>
      <c r="B172" s="3" t="s">
        <v>27</v>
      </c>
      <c r="C172" s="26">
        <f>VLOOKUP(A172, Raw_Data_Adani!A:N, 8, FALSE)</f>
        <v>2402</v>
      </c>
      <c r="L172" s="37"/>
      <c r="AB172" s="40">
        <f>VLOOKUP(A172, Raw_Data_Adani!AQ:BE, 8, FALSE)</f>
        <v>2409.6</v>
      </c>
      <c r="AC172" s="25">
        <f>Assumptions!$B$32</f>
        <v>45930</v>
      </c>
      <c r="AD172" s="3">
        <f t="shared" si="10"/>
        <v>13</v>
      </c>
      <c r="AE172" s="3">
        <f>C172*(1+(Assumptions!$B$13*AD172/365))</f>
        <v>2407.5180191780823</v>
      </c>
      <c r="AF172" s="40">
        <f t="shared" si="11"/>
        <v>2.0819808219175684</v>
      </c>
      <c r="AG172" s="3">
        <f>(C172*Assumptions!$B$16)+(AB172*Assumptions!$B$17)</f>
        <v>1.6829200000000002</v>
      </c>
      <c r="AH172" s="40">
        <f t="shared" si="12"/>
        <v>0.3990608219175682</v>
      </c>
      <c r="AI172" s="26">
        <f>C172+(AB172*Assumptions!$B$15)</f>
        <v>3197.1680000000001</v>
      </c>
      <c r="AJ172" s="7">
        <f t="shared" si="13"/>
        <v>1.2481696986757287E-4</v>
      </c>
      <c r="AK172" s="27">
        <f t="shared" si="14"/>
        <v>3.5044764616664688E-3</v>
      </c>
      <c r="AL172" s="28" t="str">
        <f>IF(AND(AD172&gt;0,AK172  &gt; Assumptions!$B$13), "ENTER", "DONT ENTER")</f>
        <v>DONT ENTER</v>
      </c>
    </row>
    <row r="173" spans="1:38" x14ac:dyDescent="0.3">
      <c r="A173" s="25">
        <v>45918</v>
      </c>
      <c r="B173" s="3" t="s">
        <v>27</v>
      </c>
      <c r="C173" s="26">
        <f>VLOOKUP(A173, Raw_Data_Adani!A:N, 8, FALSE)</f>
        <v>2402</v>
      </c>
      <c r="L173" s="37"/>
      <c r="AB173" s="26">
        <f>VLOOKUP(A173, Raw_Data_Adani!AQ:BE, 8, FALSE)</f>
        <v>2412.9</v>
      </c>
      <c r="AC173" s="25">
        <f>Assumptions!$B$32</f>
        <v>45930</v>
      </c>
      <c r="AD173" s="3">
        <f t="shared" si="10"/>
        <v>12</v>
      </c>
      <c r="AE173" s="3">
        <f>C173*(1+(Assumptions!$B$13*AD173/365))</f>
        <v>2407.0935561643837</v>
      </c>
      <c r="AF173" s="26">
        <f t="shared" si="11"/>
        <v>5.8064438356163919</v>
      </c>
      <c r="AG173" s="3">
        <f>(C173*Assumptions!$B$16)+(AB173*Assumptions!$B$17)</f>
        <v>1.6835800000000001</v>
      </c>
      <c r="AH173" s="26">
        <f t="shared" si="12"/>
        <v>4.1228638356163918</v>
      </c>
      <c r="AI173" s="26">
        <f>C173+(AB173*Assumptions!$B$15)</f>
        <v>3198.2570000000001</v>
      </c>
      <c r="AJ173" s="7">
        <f t="shared" si="13"/>
        <v>1.2890971037087988E-3</v>
      </c>
      <c r="AK173" s="27">
        <f t="shared" si="14"/>
        <v>3.9210036904475963E-2</v>
      </c>
      <c r="AL173" s="28" t="str">
        <f>IF(AND(AD173&gt;0,AK173  &gt; Assumptions!$B$13), "ENTER", "DONT ENTER")</f>
        <v>DONT ENTER</v>
      </c>
    </row>
    <row r="174" spans="1:38" x14ac:dyDescent="0.3">
      <c r="A174" s="25">
        <v>45919</v>
      </c>
      <c r="B174" s="3" t="s">
        <v>27</v>
      </c>
      <c r="C174" s="26">
        <f>VLOOKUP(A174, Raw_Data_Adani!A:N, 8, FALSE)</f>
        <v>2524</v>
      </c>
      <c r="L174" s="37"/>
      <c r="AB174" s="40">
        <f>VLOOKUP(A174, Raw_Data_Adani!AQ:BE, 8, FALSE)</f>
        <v>2533.1</v>
      </c>
      <c r="AC174" s="25">
        <f>Assumptions!$B$32</f>
        <v>45930</v>
      </c>
      <c r="AD174" s="3">
        <f t="shared" si="10"/>
        <v>11</v>
      </c>
      <c r="AE174" s="3">
        <f>C174*(1+(Assumptions!$B$13*AD174/365))</f>
        <v>2528.9062410958904</v>
      </c>
      <c r="AF174" s="40">
        <f t="shared" si="11"/>
        <v>4.1937589041094725</v>
      </c>
      <c r="AG174" s="3">
        <f>(C174*Assumptions!$B$16)+(AB174*Assumptions!$B$17)</f>
        <v>1.7686199999999999</v>
      </c>
      <c r="AH174" s="40">
        <f t="shared" si="12"/>
        <v>2.4251389041094726</v>
      </c>
      <c r="AI174" s="26">
        <f>C174+(AB174*Assumptions!$B$15)</f>
        <v>3359.9229999999998</v>
      </c>
      <c r="AJ174" s="7">
        <f t="shared" si="13"/>
        <v>7.2178407186994245E-4</v>
      </c>
      <c r="AK174" s="27">
        <f t="shared" si="14"/>
        <v>2.3950107839320816E-2</v>
      </c>
      <c r="AL174" s="28" t="str">
        <f>IF(AND(AD174&gt;0,AK174  &gt; Assumptions!$B$13), "ENTER", "DONT ENTER")</f>
        <v>DONT ENTER</v>
      </c>
    </row>
    <row r="175" spans="1:38" x14ac:dyDescent="0.3">
      <c r="A175" s="25">
        <v>45920</v>
      </c>
      <c r="B175" s="3" t="s">
        <v>27</v>
      </c>
      <c r="C175" s="3" t="e">
        <f>VLOOKUP(A175, Raw_Data_Adani!A:N, 8, FALSE)</f>
        <v>#N/A</v>
      </c>
      <c r="L175" s="37"/>
      <c r="AB175" s="3" t="e">
        <f>VLOOKUP(A175, Raw_Data_Adani!AQ:BE, 8, FALSE)</f>
        <v>#N/A</v>
      </c>
      <c r="AC175" s="25">
        <f>Assumptions!$B$32</f>
        <v>45930</v>
      </c>
      <c r="AD175" s="3">
        <f t="shared" si="10"/>
        <v>10</v>
      </c>
      <c r="AE175" s="3" t="e">
        <f>C175*(1+(Assumptions!$B$13*AD175/365))</f>
        <v>#N/A</v>
      </c>
      <c r="AF175" s="3" t="e">
        <f t="shared" si="11"/>
        <v>#N/A</v>
      </c>
      <c r="AG175" s="3" t="e">
        <f>(C175*Assumptions!$B$16)+(AB175*Assumptions!$B$17)</f>
        <v>#N/A</v>
      </c>
      <c r="AH175" s="3" t="e">
        <f t="shared" si="12"/>
        <v>#N/A</v>
      </c>
      <c r="AI175" s="3" t="e">
        <f>C175+(AB175*Assumptions!$B$15)</f>
        <v>#N/A</v>
      </c>
      <c r="AJ175" s="7" t="e">
        <f t="shared" si="13"/>
        <v>#N/A</v>
      </c>
      <c r="AK175" s="7" t="e">
        <f t="shared" si="14"/>
        <v>#N/A</v>
      </c>
      <c r="AL175" s="3" t="e">
        <f>IF(AND(AD175&gt;0,AK175  &gt; Assumptions!$B$13), "ENTER", "DONT ENTER")</f>
        <v>#N/A</v>
      </c>
    </row>
    <row r="176" spans="1:38" x14ac:dyDescent="0.3">
      <c r="A176" s="25">
        <v>45921</v>
      </c>
      <c r="B176" s="3" t="s">
        <v>27</v>
      </c>
      <c r="C176" s="3" t="e">
        <f>VLOOKUP(A176, Raw_Data_Adani!A:N, 8, FALSE)</f>
        <v>#N/A</v>
      </c>
      <c r="L176" s="37"/>
      <c r="AB176" s="3" t="e">
        <f>VLOOKUP(A176, Raw_Data_Adani!AQ:BE, 8, FALSE)</f>
        <v>#N/A</v>
      </c>
      <c r="AC176" s="25">
        <f>Assumptions!$B$32</f>
        <v>45930</v>
      </c>
      <c r="AD176" s="3">
        <f t="shared" si="10"/>
        <v>9</v>
      </c>
      <c r="AE176" s="3" t="e">
        <f>C176*(1+(Assumptions!$B$13*AD176/365))</f>
        <v>#N/A</v>
      </c>
      <c r="AF176" s="3" t="e">
        <f t="shared" si="11"/>
        <v>#N/A</v>
      </c>
      <c r="AG176" s="3" t="e">
        <f>(C176*Assumptions!$B$16)+(AB176*Assumptions!$B$17)</f>
        <v>#N/A</v>
      </c>
      <c r="AH176" s="3" t="e">
        <f t="shared" si="12"/>
        <v>#N/A</v>
      </c>
      <c r="AI176" s="3" t="e">
        <f>C176+(AB176*Assumptions!$B$15)</f>
        <v>#N/A</v>
      </c>
      <c r="AJ176" s="7" t="e">
        <f t="shared" si="13"/>
        <v>#N/A</v>
      </c>
      <c r="AK176" s="7" t="e">
        <f t="shared" si="14"/>
        <v>#N/A</v>
      </c>
      <c r="AL176" s="3" t="e">
        <f>IF(AND(AD176&gt;0,AK176  &gt; Assumptions!$B$13), "ENTER", "DONT ENTER")</f>
        <v>#N/A</v>
      </c>
    </row>
    <row r="177" spans="1:38" x14ac:dyDescent="0.3">
      <c r="A177" s="25">
        <v>45922</v>
      </c>
      <c r="B177" s="3" t="s">
        <v>27</v>
      </c>
      <c r="C177" s="26">
        <f>VLOOKUP(A177, Raw_Data_Adani!A:N, 8, FALSE)</f>
        <v>2629.5</v>
      </c>
      <c r="L177" s="37"/>
      <c r="AB177" s="26">
        <f>VLOOKUP(A177, Raw_Data_Adani!AQ:BE, 8, FALSE)</f>
        <v>2637.8</v>
      </c>
      <c r="AC177" s="25">
        <f>Assumptions!$B$32</f>
        <v>45930</v>
      </c>
      <c r="AD177" s="3">
        <f t="shared" si="10"/>
        <v>8</v>
      </c>
      <c r="AE177" s="3">
        <f>C177*(1+(Assumptions!$B$13*AD177/365))</f>
        <v>2633.2173205479453</v>
      </c>
      <c r="AF177" s="26">
        <f t="shared" si="11"/>
        <v>4.5826794520548901</v>
      </c>
      <c r="AG177" s="3">
        <f>(C177*Assumptions!$B$16)+(AB177*Assumptions!$B$17)</f>
        <v>1.8423100000000001</v>
      </c>
      <c r="AH177" s="26">
        <f t="shared" si="12"/>
        <v>2.7403694520548898</v>
      </c>
      <c r="AI177" s="26">
        <f>C177+(AB177*Assumptions!$B$15)</f>
        <v>3499.9740000000002</v>
      </c>
      <c r="AJ177" s="7">
        <f t="shared" si="13"/>
        <v>7.829685169246656E-4</v>
      </c>
      <c r="AK177" s="27">
        <f t="shared" si="14"/>
        <v>3.572293858468787E-2</v>
      </c>
      <c r="AL177" s="28" t="str">
        <f>IF(AND(AD177&gt;0,AK177  &gt; Assumptions!$B$13), "ENTER", "DONT ENTER")</f>
        <v>DONT ENTER</v>
      </c>
    </row>
    <row r="178" spans="1:38" x14ac:dyDescent="0.3">
      <c r="A178" s="25">
        <v>45923</v>
      </c>
      <c r="B178" s="3" t="s">
        <v>27</v>
      </c>
      <c r="C178" s="26">
        <f>VLOOKUP(A178, Raw_Data_Adani!A:N, 8, FALSE)</f>
        <v>2676.4</v>
      </c>
      <c r="L178" s="37"/>
      <c r="AB178" s="26">
        <f>VLOOKUP(A178, Raw_Data_Adani!AQ:BE, 8, FALSE)</f>
        <v>2677.4</v>
      </c>
      <c r="AC178" s="25">
        <f>Assumptions!$B$32</f>
        <v>45930</v>
      </c>
      <c r="AD178" s="3">
        <f t="shared" si="10"/>
        <v>7</v>
      </c>
      <c r="AE178" s="3">
        <f>C178*(1+(Assumptions!$B$13*AD178/365))</f>
        <v>2679.7106701369867</v>
      </c>
      <c r="AF178" s="26">
        <f t="shared" si="11"/>
        <v>-2.3106701369865732</v>
      </c>
      <c r="AG178" s="3">
        <f>(C178*Assumptions!$B$16)+(AB178*Assumptions!$B$17)</f>
        <v>1.8736800000000002</v>
      </c>
      <c r="AH178" s="26">
        <f t="shared" si="12"/>
        <v>-4.1843501369865734</v>
      </c>
      <c r="AI178" s="26">
        <f>C178+(AB178*Assumptions!$B$15)</f>
        <v>3559.942</v>
      </c>
      <c r="AJ178" s="7">
        <f t="shared" si="13"/>
        <v>-1.175398401711762E-3</v>
      </c>
      <c r="AK178" s="27">
        <f t="shared" si="14"/>
        <v>-6.1288630946399018E-2</v>
      </c>
      <c r="AL178" s="28" t="str">
        <f>IF(AND(AD178&gt;0,AK178  &gt; Assumptions!$B$13), "ENTER", "DONT ENTER")</f>
        <v>DONT ENTER</v>
      </c>
    </row>
    <row r="179" spans="1:38" x14ac:dyDescent="0.3">
      <c r="A179" s="25">
        <v>45924</v>
      </c>
      <c r="B179" s="3" t="s">
        <v>27</v>
      </c>
      <c r="C179" s="26">
        <f>VLOOKUP(A179, Raw_Data_Adani!A:N, 8, FALSE)</f>
        <v>2619.8000000000002</v>
      </c>
      <c r="L179" s="37"/>
      <c r="AB179" s="26">
        <f>VLOOKUP(A179, Raw_Data_Adani!AQ:BE, 8, FALSE)</f>
        <v>2628.7</v>
      </c>
      <c r="AC179" s="25">
        <f>Assumptions!$B$32</f>
        <v>45930</v>
      </c>
      <c r="AD179" s="3">
        <f t="shared" si="10"/>
        <v>6</v>
      </c>
      <c r="AE179" s="3">
        <f>C179*(1+(Assumptions!$B$13*AD179/365))</f>
        <v>2622.5777057534247</v>
      </c>
      <c r="AF179" s="26">
        <f t="shared" si="11"/>
        <v>6.1222942465751657</v>
      </c>
      <c r="AG179" s="3">
        <f>(C179*Assumptions!$B$16)+(AB179*Assumptions!$B$17)</f>
        <v>1.8356400000000002</v>
      </c>
      <c r="AH179" s="26">
        <f t="shared" si="12"/>
        <v>4.286654246575166</v>
      </c>
      <c r="AI179" s="26">
        <f>C179+(AB179*Assumptions!$B$15)</f>
        <v>3487.2710000000002</v>
      </c>
      <c r="AJ179" s="7">
        <f t="shared" si="13"/>
        <v>1.2292288860186564E-3</v>
      </c>
      <c r="AK179" s="29">
        <f t="shared" si="14"/>
        <v>7.4778090566134936E-2</v>
      </c>
      <c r="AL179" s="30" t="str">
        <f>IF(AND(AD179&gt;0,AK179  &gt; Assumptions!$B$13), "ENTER", "DONT ENTER")</f>
        <v>ENTER</v>
      </c>
    </row>
    <row r="180" spans="1:38" x14ac:dyDescent="0.3">
      <c r="A180" s="25">
        <v>45925</v>
      </c>
      <c r="B180" s="3" t="s">
        <v>27</v>
      </c>
      <c r="C180" s="26">
        <f>VLOOKUP(A180, Raw_Data_Adani!A:N, 8, FALSE)</f>
        <v>2576.4</v>
      </c>
      <c r="L180" s="37"/>
      <c r="AB180" s="26">
        <f>VLOOKUP(A180, Raw_Data_Adani!AQ:BE, 8, FALSE)</f>
        <v>2586</v>
      </c>
      <c r="AC180" s="25">
        <f>Assumptions!$B$32</f>
        <v>45930</v>
      </c>
      <c r="AD180" s="3">
        <f t="shared" si="10"/>
        <v>5</v>
      </c>
      <c r="AE180" s="3">
        <f>C180*(1+(Assumptions!$B$13*AD180/365))</f>
        <v>2578.676408219178</v>
      </c>
      <c r="AF180" s="26">
        <f t="shared" si="11"/>
        <v>7.323591780821971</v>
      </c>
      <c r="AG180" s="3">
        <f>(C180*Assumptions!$B$16)+(AB180*Assumptions!$B$17)</f>
        <v>1.8054000000000001</v>
      </c>
      <c r="AH180" s="26">
        <f t="shared" si="12"/>
        <v>5.5181917808219705</v>
      </c>
      <c r="AI180" s="26">
        <f>C180+(AB180*Assumptions!$B$15)</f>
        <v>3429.78</v>
      </c>
      <c r="AJ180" s="7">
        <f t="shared" si="13"/>
        <v>1.608905463563835E-3</v>
      </c>
      <c r="AK180" s="29">
        <f t="shared" si="14"/>
        <v>0.11745009884015996</v>
      </c>
      <c r="AL180" s="30" t="str">
        <f>IF(AND(AD180&gt;0,AK180  &gt; Assumptions!$B$13), "ENTER", "DONT ENTER")</f>
        <v>ENTER</v>
      </c>
    </row>
    <row r="181" spans="1:38" x14ac:dyDescent="0.3">
      <c r="A181" s="25">
        <v>45926</v>
      </c>
      <c r="B181" s="3" t="s">
        <v>27</v>
      </c>
      <c r="C181" s="26">
        <f>VLOOKUP(A181, Raw_Data_Adani!A:N, 8, FALSE)</f>
        <v>2543.6999999999998</v>
      </c>
      <c r="L181" s="37"/>
      <c r="AB181" s="26">
        <f>VLOOKUP(A181, Raw_Data_Adani!AQ:BE, 8, FALSE)</f>
        <v>2544.4</v>
      </c>
      <c r="AC181" s="25">
        <f>Assumptions!$B$32</f>
        <v>45930</v>
      </c>
      <c r="AD181" s="3">
        <f t="shared" si="10"/>
        <v>4</v>
      </c>
      <c r="AE181" s="3">
        <f>C181*(1+(Assumptions!$B$13*AD181/365))</f>
        <v>2545.4980126027399</v>
      </c>
      <c r="AF181" s="26">
        <f t="shared" si="11"/>
        <v>-1.0980126027398001</v>
      </c>
      <c r="AG181" s="3">
        <f>(C181*Assumptions!$B$16)+(AB181*Assumptions!$B$17)</f>
        <v>1.7807299999999999</v>
      </c>
      <c r="AH181" s="26">
        <f t="shared" si="12"/>
        <v>-2.8787426027398002</v>
      </c>
      <c r="AI181" s="26">
        <f>C181+(AB181*Assumptions!$B$15)</f>
        <v>3383.3519999999999</v>
      </c>
      <c r="AJ181" s="7">
        <f t="shared" si="13"/>
        <v>-8.5085518820973997E-4</v>
      </c>
      <c r="AK181" s="27">
        <f t="shared" si="14"/>
        <v>-7.7640535924138776E-2</v>
      </c>
      <c r="AL181" s="28" t="str">
        <f>IF(AND(AD181&gt;0,AK181  &gt; Assumptions!$B$13), "ENTER", "DONT ENTER")</f>
        <v>DONT ENTER</v>
      </c>
    </row>
    <row r="182" spans="1:38" x14ac:dyDescent="0.3">
      <c r="A182" s="25">
        <v>45927</v>
      </c>
      <c r="B182" s="3" t="s">
        <v>27</v>
      </c>
      <c r="C182" s="3" t="e">
        <f>VLOOKUP(A182, Raw_Data_Adani!A:N, 8, FALSE)</f>
        <v>#N/A</v>
      </c>
      <c r="L182" s="37"/>
      <c r="AB182" s="3" t="e">
        <f>VLOOKUP(A182, Raw_Data_Adani!AQ:BE, 8, FALSE)</f>
        <v>#N/A</v>
      </c>
      <c r="AC182" s="25">
        <f>Assumptions!$B$32</f>
        <v>45930</v>
      </c>
      <c r="AD182" s="3">
        <f t="shared" si="10"/>
        <v>3</v>
      </c>
      <c r="AE182" s="3" t="e">
        <f>C182*(1+(Assumptions!$B$13*AD182/365))</f>
        <v>#N/A</v>
      </c>
      <c r="AF182" s="3" t="e">
        <f t="shared" si="11"/>
        <v>#N/A</v>
      </c>
      <c r="AG182" s="3" t="e">
        <f>(C182*Assumptions!$B$16)+(AB182*Assumptions!$B$17)</f>
        <v>#N/A</v>
      </c>
      <c r="AH182" s="3" t="e">
        <f t="shared" si="12"/>
        <v>#N/A</v>
      </c>
      <c r="AI182" s="3" t="e">
        <f>C182+(AB182*Assumptions!$B$15)</f>
        <v>#N/A</v>
      </c>
      <c r="AJ182" s="7" t="e">
        <f t="shared" si="13"/>
        <v>#N/A</v>
      </c>
      <c r="AK182" s="7" t="e">
        <f t="shared" si="14"/>
        <v>#N/A</v>
      </c>
      <c r="AL182" s="3" t="e">
        <f>IF(AND(AD182&gt;0,AK182  &gt; Assumptions!$B$13), "ENTER", "DONT ENTER")</f>
        <v>#N/A</v>
      </c>
    </row>
    <row r="183" spans="1:38" x14ac:dyDescent="0.3">
      <c r="A183" s="25">
        <v>45928</v>
      </c>
      <c r="B183" s="3" t="s">
        <v>27</v>
      </c>
      <c r="C183" s="3" t="e">
        <f>VLOOKUP(A183, Raw_Data_Adani!A:N, 8, FALSE)</f>
        <v>#N/A</v>
      </c>
      <c r="L183" s="37"/>
      <c r="AB183" s="3" t="e">
        <f>VLOOKUP(A183, Raw_Data_Adani!AQ:BE, 8, FALSE)</f>
        <v>#N/A</v>
      </c>
      <c r="AC183" s="25">
        <f>Assumptions!$B$32</f>
        <v>45930</v>
      </c>
      <c r="AD183" s="3">
        <f t="shared" si="10"/>
        <v>2</v>
      </c>
      <c r="AE183" s="3" t="e">
        <f>C183*(1+(Assumptions!$B$13*AD183/365))</f>
        <v>#N/A</v>
      </c>
      <c r="AF183" s="3" t="e">
        <f t="shared" si="11"/>
        <v>#N/A</v>
      </c>
      <c r="AG183" s="3" t="e">
        <f>(C183*Assumptions!$B$16)+(AB183*Assumptions!$B$17)</f>
        <v>#N/A</v>
      </c>
      <c r="AH183" s="3" t="e">
        <f t="shared" si="12"/>
        <v>#N/A</v>
      </c>
      <c r="AI183" s="3" t="e">
        <f>C183+(AB183*Assumptions!$B$15)</f>
        <v>#N/A</v>
      </c>
      <c r="AJ183" s="7" t="e">
        <f t="shared" si="13"/>
        <v>#N/A</v>
      </c>
      <c r="AK183" s="7" t="e">
        <f t="shared" si="14"/>
        <v>#N/A</v>
      </c>
      <c r="AL183" s="3" t="e">
        <f>IF(AND(AD183&gt;0,AK183  &gt; Assumptions!$B$13), "ENTER", "DONT ENTER")</f>
        <v>#N/A</v>
      </c>
    </row>
    <row r="184" spans="1:38" x14ac:dyDescent="0.3">
      <c r="A184" s="25">
        <v>45929</v>
      </c>
      <c r="B184" s="3" t="s">
        <v>27</v>
      </c>
      <c r="C184" s="26">
        <f>VLOOKUP(A184, Raw_Data_Adani!A:N, 8, FALSE)</f>
        <v>2509.5</v>
      </c>
      <c r="L184" s="37"/>
      <c r="AB184" s="26">
        <f>VLOOKUP(A184, Raw_Data_Adani!AQ:BE, 8, FALSE)</f>
        <v>2516</v>
      </c>
      <c r="AC184" s="25">
        <f>Assumptions!$B$32</f>
        <v>45930</v>
      </c>
      <c r="AD184" s="3">
        <f t="shared" si="10"/>
        <v>1</v>
      </c>
      <c r="AE184" s="3">
        <f>C184*(1+(Assumptions!$B$13*AD184/365))</f>
        <v>2509.9434595890407</v>
      </c>
      <c r="AF184" s="26">
        <f t="shared" si="11"/>
        <v>6.0565404109593146</v>
      </c>
      <c r="AG184" s="3">
        <f>(C184*Assumptions!$B$16)+(AB184*Assumptions!$B$17)</f>
        <v>1.7579500000000001</v>
      </c>
      <c r="AH184" s="26">
        <f t="shared" si="12"/>
        <v>4.2985904109593145</v>
      </c>
      <c r="AI184" s="26">
        <f>C184+(AB184*Assumptions!$B$15)</f>
        <v>3339.78</v>
      </c>
      <c r="AJ184" s="7">
        <f t="shared" si="13"/>
        <v>1.2870878952982875E-3</v>
      </c>
      <c r="AK184" s="29">
        <f t="shared" si="14"/>
        <v>0.4697870817838749</v>
      </c>
      <c r="AL184" s="30" t="str">
        <f>IF(AND(AD184&gt;0,AK184  &gt; Assumptions!$B$13), "ENTER", "DONT ENTER")</f>
        <v>ENTER</v>
      </c>
    </row>
    <row r="185" spans="1:38" x14ac:dyDescent="0.3">
      <c r="A185" s="25">
        <v>45930</v>
      </c>
      <c r="B185" s="3" t="s">
        <v>27</v>
      </c>
      <c r="C185" s="26">
        <f>VLOOKUP(A185, Raw_Data_Adani!A:N, 8, FALSE)</f>
        <v>2505.9</v>
      </c>
      <c r="L185" s="37"/>
      <c r="AB185" s="26">
        <f>VLOOKUP(A185, Raw_Data_Adani!AQ:BE, 8, FALSE)</f>
        <v>2503.4</v>
      </c>
      <c r="AC185" s="25">
        <f>Assumptions!$B$32</f>
        <v>45930</v>
      </c>
      <c r="AD185" s="3">
        <f t="shared" si="10"/>
        <v>0</v>
      </c>
      <c r="AE185" s="3">
        <f>C185*(1+(Assumptions!$B$13*AD185/365))</f>
        <v>2505.9</v>
      </c>
      <c r="AF185" s="26">
        <f t="shared" si="11"/>
        <v>-2.5</v>
      </c>
      <c r="AG185" s="3">
        <f>(C185*Assumptions!$B$16)+(AB185*Assumptions!$B$17)</f>
        <v>1.75363</v>
      </c>
      <c r="AH185" s="26">
        <f t="shared" si="12"/>
        <v>-4.2536300000000002</v>
      </c>
      <c r="AI185" s="26">
        <f>C185+(AB185*Assumptions!$B$15)</f>
        <v>3332.0219999999999</v>
      </c>
      <c r="AJ185" s="7">
        <f t="shared" si="13"/>
        <v>-1.2765912109824005E-3</v>
      </c>
      <c r="AK185" s="7" t="e">
        <f t="shared" si="14"/>
        <v>#DIV/0!</v>
      </c>
      <c r="AL185" s="3" t="e">
        <f>IF(AND(AD185&gt;0,AK185  &gt; Assumptions!$B$13), "ENTER", "DONT ENTER")</f>
        <v>#DIV/0!</v>
      </c>
    </row>
    <row r="186" spans="1:38" x14ac:dyDescent="0.3">
      <c r="L186" s="37"/>
    </row>
    <row r="187" spans="1:38" x14ac:dyDescent="0.3">
      <c r="L187" s="37"/>
    </row>
    <row r="188" spans="1:38" x14ac:dyDescent="0.3">
      <c r="L188" s="37"/>
    </row>
    <row r="189" spans="1:38" x14ac:dyDescent="0.3">
      <c r="L189" s="37"/>
    </row>
    <row r="190" spans="1:38" x14ac:dyDescent="0.3">
      <c r="L190" s="37"/>
    </row>
    <row r="191" spans="1:38" x14ac:dyDescent="0.3">
      <c r="L191" s="37"/>
    </row>
    <row r="192" spans="1:38" x14ac:dyDescent="0.3">
      <c r="L192" s="37"/>
    </row>
    <row r="193" spans="12:12" x14ac:dyDescent="0.3">
      <c r="L193" s="37"/>
    </row>
    <row r="194" spans="12:12" x14ac:dyDescent="0.3">
      <c r="L194" s="37"/>
    </row>
    <row r="195" spans="12:12" x14ac:dyDescent="0.3">
      <c r="L195" s="37"/>
    </row>
    <row r="196" spans="12:12" x14ac:dyDescent="0.3">
      <c r="L196" s="37"/>
    </row>
    <row r="197" spans="12:12" x14ac:dyDescent="0.3">
      <c r="L197" s="37"/>
    </row>
    <row r="198" spans="12:12" x14ac:dyDescent="0.3">
      <c r="L198" s="37"/>
    </row>
    <row r="199" spans="12:12" x14ac:dyDescent="0.3">
      <c r="L199" s="37"/>
    </row>
    <row r="200" spans="12:12" x14ac:dyDescent="0.3">
      <c r="L200" s="37"/>
    </row>
    <row r="201" spans="12:12" x14ac:dyDescent="0.3">
      <c r="L201" s="37"/>
    </row>
    <row r="202" spans="12:12" x14ac:dyDescent="0.3">
      <c r="L202" s="37"/>
    </row>
    <row r="203" spans="12:12" x14ac:dyDescent="0.3">
      <c r="L203" s="37"/>
    </row>
    <row r="204" spans="12:12" x14ac:dyDescent="0.3">
      <c r="L204" s="37"/>
    </row>
    <row r="205" spans="12:12" x14ac:dyDescent="0.3">
      <c r="L205" s="37"/>
    </row>
    <row r="206" spans="12:12" x14ac:dyDescent="0.3">
      <c r="L206" s="37"/>
    </row>
    <row r="207" spans="12:12" x14ac:dyDescent="0.3">
      <c r="L207" s="37"/>
    </row>
    <row r="208" spans="12:12" x14ac:dyDescent="0.3">
      <c r="L208" s="37"/>
    </row>
    <row r="209" spans="12:12" x14ac:dyDescent="0.3">
      <c r="L209" s="37"/>
    </row>
    <row r="210" spans="12:12" x14ac:dyDescent="0.3">
      <c r="L210" s="37"/>
    </row>
    <row r="211" spans="12:12" x14ac:dyDescent="0.3">
      <c r="L211" s="37"/>
    </row>
    <row r="212" spans="12:12" x14ac:dyDescent="0.3">
      <c r="L212" s="37"/>
    </row>
    <row r="213" spans="12:12" x14ac:dyDescent="0.3">
      <c r="L213" s="37"/>
    </row>
    <row r="214" spans="12:12" x14ac:dyDescent="0.3">
      <c r="L214" s="37"/>
    </row>
    <row r="215" spans="12:12" x14ac:dyDescent="0.3">
      <c r="L215" s="37"/>
    </row>
    <row r="216" spans="12:12" x14ac:dyDescent="0.3">
      <c r="L216" s="37"/>
    </row>
    <row r="217" spans="12:12" x14ac:dyDescent="0.3">
      <c r="L217" s="37"/>
    </row>
    <row r="218" spans="12:12" x14ac:dyDescent="0.3">
      <c r="L218" s="37"/>
    </row>
    <row r="219" spans="12:12" x14ac:dyDescent="0.3">
      <c r="L219" s="37"/>
    </row>
    <row r="220" spans="12:12" x14ac:dyDescent="0.3">
      <c r="L220" s="37"/>
    </row>
    <row r="221" spans="12:12" x14ac:dyDescent="0.3">
      <c r="L221" s="37"/>
    </row>
    <row r="222" spans="12:12" x14ac:dyDescent="0.3">
      <c r="L222" s="37"/>
    </row>
    <row r="223" spans="12:12" x14ac:dyDescent="0.3">
      <c r="L223" s="37"/>
    </row>
    <row r="224" spans="12:12" x14ac:dyDescent="0.3">
      <c r="L224" s="37"/>
    </row>
    <row r="225" spans="12:12" x14ac:dyDescent="0.3">
      <c r="L225" s="37"/>
    </row>
    <row r="226" spans="12:12" x14ac:dyDescent="0.3">
      <c r="L226" s="37"/>
    </row>
    <row r="227" spans="12:12" x14ac:dyDescent="0.3">
      <c r="L227" s="37"/>
    </row>
    <row r="228" spans="12:12" x14ac:dyDescent="0.3">
      <c r="L228" s="37"/>
    </row>
    <row r="229" spans="12:12" x14ac:dyDescent="0.3">
      <c r="L229" s="37"/>
    </row>
    <row r="230" spans="12:12" x14ac:dyDescent="0.3">
      <c r="L230" s="37"/>
    </row>
    <row r="231" spans="12:12" x14ac:dyDescent="0.3">
      <c r="L231" s="37"/>
    </row>
    <row r="232" spans="12:12" x14ac:dyDescent="0.3">
      <c r="L232" s="37"/>
    </row>
    <row r="233" spans="12:12" x14ac:dyDescent="0.3">
      <c r="L233" s="37"/>
    </row>
    <row r="234" spans="12:12" x14ac:dyDescent="0.3">
      <c r="L234" s="37"/>
    </row>
    <row r="235" spans="12:12" x14ac:dyDescent="0.3">
      <c r="L235" s="37"/>
    </row>
    <row r="236" spans="12:12" x14ac:dyDescent="0.3">
      <c r="L236" s="37"/>
    </row>
    <row r="237" spans="12:12" x14ac:dyDescent="0.3">
      <c r="L237" s="37"/>
    </row>
    <row r="238" spans="12:12" x14ac:dyDescent="0.3">
      <c r="L238" s="37"/>
    </row>
    <row r="239" spans="12:12" x14ac:dyDescent="0.3">
      <c r="L239" s="37"/>
    </row>
    <row r="240" spans="12:12" x14ac:dyDescent="0.3">
      <c r="L240" s="37"/>
    </row>
    <row r="241" spans="12:12" x14ac:dyDescent="0.3">
      <c r="L241" s="37"/>
    </row>
    <row r="242" spans="12:12" x14ac:dyDescent="0.3">
      <c r="L242" s="37"/>
    </row>
    <row r="243" spans="12:12" x14ac:dyDescent="0.3">
      <c r="L243" s="37"/>
    </row>
    <row r="244" spans="12:12" x14ac:dyDescent="0.3">
      <c r="L244" s="37"/>
    </row>
    <row r="245" spans="12:12" x14ac:dyDescent="0.3">
      <c r="L245" s="37"/>
    </row>
    <row r="246" spans="12:12" x14ac:dyDescent="0.3">
      <c r="L246" s="37"/>
    </row>
    <row r="247" spans="12:12" x14ac:dyDescent="0.3">
      <c r="L247" s="37"/>
    </row>
    <row r="248" spans="12:12" x14ac:dyDescent="0.3">
      <c r="L248" s="37"/>
    </row>
    <row r="249" spans="12:12" x14ac:dyDescent="0.3">
      <c r="L249" s="37"/>
    </row>
    <row r="250" spans="12:12" x14ac:dyDescent="0.3">
      <c r="L250" s="37"/>
    </row>
    <row r="251" spans="12:12" x14ac:dyDescent="0.3">
      <c r="L251" s="37"/>
    </row>
    <row r="252" spans="12:12" x14ac:dyDescent="0.3">
      <c r="L252" s="37"/>
    </row>
    <row r="253" spans="12:12" x14ac:dyDescent="0.3">
      <c r="L253" s="37"/>
    </row>
    <row r="254" spans="12:12" x14ac:dyDescent="0.3">
      <c r="L254" s="37"/>
    </row>
    <row r="255" spans="12:12" x14ac:dyDescent="0.3">
      <c r="L255" s="37"/>
    </row>
    <row r="256" spans="12:12" x14ac:dyDescent="0.3">
      <c r="L256" s="37"/>
    </row>
    <row r="257" spans="12:12" x14ac:dyDescent="0.3">
      <c r="L257" s="37"/>
    </row>
    <row r="258" spans="12:12" x14ac:dyDescent="0.3">
      <c r="L258" s="37"/>
    </row>
    <row r="259" spans="12:12" x14ac:dyDescent="0.3">
      <c r="L259" s="37"/>
    </row>
    <row r="260" spans="12:12" x14ac:dyDescent="0.3">
      <c r="L260" s="37"/>
    </row>
    <row r="261" spans="12:12" x14ac:dyDescent="0.3">
      <c r="L261" s="37"/>
    </row>
    <row r="262" spans="12:12" x14ac:dyDescent="0.3">
      <c r="L262" s="37"/>
    </row>
    <row r="263" spans="12:12" x14ac:dyDescent="0.3">
      <c r="L263" s="37"/>
    </row>
    <row r="264" spans="12:12" x14ac:dyDescent="0.3">
      <c r="L264" s="37"/>
    </row>
    <row r="265" spans="12:12" x14ac:dyDescent="0.3">
      <c r="L265" s="37"/>
    </row>
    <row r="266" spans="12:12" x14ac:dyDescent="0.3">
      <c r="L266" s="37"/>
    </row>
    <row r="267" spans="12:12" x14ac:dyDescent="0.3">
      <c r="L267" s="37"/>
    </row>
    <row r="268" spans="12:12" x14ac:dyDescent="0.3">
      <c r="L268" s="37"/>
    </row>
    <row r="269" spans="12:12" x14ac:dyDescent="0.3">
      <c r="L269" s="37"/>
    </row>
    <row r="270" spans="12:12" x14ac:dyDescent="0.3">
      <c r="L270" s="37"/>
    </row>
    <row r="271" spans="12:12" x14ac:dyDescent="0.3">
      <c r="L271" s="37"/>
    </row>
    <row r="272" spans="12:12" x14ac:dyDescent="0.3">
      <c r="L272" s="37"/>
    </row>
    <row r="273" spans="12:12" x14ac:dyDescent="0.3">
      <c r="L273" s="37"/>
    </row>
    <row r="274" spans="12:12" x14ac:dyDescent="0.3">
      <c r="L274" s="37"/>
    </row>
    <row r="275" spans="12:12" x14ac:dyDescent="0.3">
      <c r="L275" s="37"/>
    </row>
    <row r="276" spans="12:12" x14ac:dyDescent="0.3">
      <c r="L276" s="37"/>
    </row>
    <row r="277" spans="12:12" x14ac:dyDescent="0.3">
      <c r="L277" s="37"/>
    </row>
    <row r="278" spans="12:12" x14ac:dyDescent="0.3">
      <c r="L278" s="37"/>
    </row>
    <row r="279" spans="12:12" x14ac:dyDescent="0.3">
      <c r="L279" s="37"/>
    </row>
    <row r="280" spans="12:12" x14ac:dyDescent="0.3">
      <c r="L280" s="37"/>
    </row>
    <row r="281" spans="12:12" x14ac:dyDescent="0.3">
      <c r="L281" s="37"/>
    </row>
    <row r="282" spans="12:12" x14ac:dyDescent="0.3">
      <c r="L282" s="37"/>
    </row>
    <row r="283" spans="12:12" x14ac:dyDescent="0.3">
      <c r="L283" s="37"/>
    </row>
    <row r="284" spans="12:12" x14ac:dyDescent="0.3">
      <c r="L284" s="37"/>
    </row>
    <row r="285" spans="12:12" x14ac:dyDescent="0.3">
      <c r="L285" s="37"/>
    </row>
    <row r="286" spans="12:12" x14ac:dyDescent="0.3">
      <c r="L286" s="37"/>
    </row>
    <row r="287" spans="12:12" x14ac:dyDescent="0.3">
      <c r="L287" s="37"/>
    </row>
    <row r="288" spans="12:12" x14ac:dyDescent="0.3">
      <c r="L288" s="37"/>
    </row>
    <row r="289" spans="12:12" x14ac:dyDescent="0.3">
      <c r="L289" s="37"/>
    </row>
    <row r="290" spans="12:12" x14ac:dyDescent="0.3">
      <c r="L290" s="37"/>
    </row>
    <row r="291" spans="12:12" x14ac:dyDescent="0.3">
      <c r="L291" s="37"/>
    </row>
    <row r="292" spans="12:12" x14ac:dyDescent="0.3">
      <c r="L292" s="37"/>
    </row>
    <row r="293" spans="12:12" x14ac:dyDescent="0.3">
      <c r="L293" s="37"/>
    </row>
    <row r="294" spans="12:12" x14ac:dyDescent="0.3">
      <c r="L294" s="37"/>
    </row>
    <row r="295" spans="12:12" x14ac:dyDescent="0.3">
      <c r="L295" s="37"/>
    </row>
    <row r="296" spans="12:12" x14ac:dyDescent="0.3">
      <c r="L296" s="37"/>
    </row>
    <row r="297" spans="12:12" x14ac:dyDescent="0.3">
      <c r="L297" s="37"/>
    </row>
    <row r="298" spans="12:12" x14ac:dyDescent="0.3">
      <c r="L298" s="37"/>
    </row>
    <row r="299" spans="12:12" x14ac:dyDescent="0.3">
      <c r="L299" s="37"/>
    </row>
    <row r="300" spans="12:12" x14ac:dyDescent="0.3">
      <c r="L300" s="37"/>
    </row>
    <row r="301" spans="12:12" x14ac:dyDescent="0.3">
      <c r="L301" s="37"/>
    </row>
    <row r="302" spans="12:12" x14ac:dyDescent="0.3">
      <c r="L302" s="37"/>
    </row>
    <row r="303" spans="12:12" x14ac:dyDescent="0.3">
      <c r="L303" s="37"/>
    </row>
    <row r="304" spans="12:12" x14ac:dyDescent="0.3">
      <c r="L304" s="37"/>
    </row>
    <row r="305" spans="12:12" x14ac:dyDescent="0.3">
      <c r="L305" s="37"/>
    </row>
    <row r="306" spans="12:12" x14ac:dyDescent="0.3">
      <c r="L306" s="37"/>
    </row>
    <row r="307" spans="12:12" x14ac:dyDescent="0.3">
      <c r="L307" s="37"/>
    </row>
    <row r="308" spans="12:12" x14ac:dyDescent="0.3">
      <c r="L308" s="37"/>
    </row>
    <row r="309" spans="12:12" x14ac:dyDescent="0.3">
      <c r="L309" s="37"/>
    </row>
    <row r="310" spans="12:12" x14ac:dyDescent="0.3">
      <c r="L310" s="37"/>
    </row>
    <row r="311" spans="12:12" x14ac:dyDescent="0.3">
      <c r="L311" s="37"/>
    </row>
    <row r="312" spans="12:12" x14ac:dyDescent="0.3">
      <c r="L312" s="37"/>
    </row>
    <row r="313" spans="12:12" x14ac:dyDescent="0.3">
      <c r="L313" s="37"/>
    </row>
    <row r="314" spans="12:12" x14ac:dyDescent="0.3">
      <c r="L314" s="37"/>
    </row>
    <row r="315" spans="12:12" x14ac:dyDescent="0.3">
      <c r="L315" s="37"/>
    </row>
    <row r="316" spans="12:12" x14ac:dyDescent="0.3">
      <c r="L316" s="37"/>
    </row>
    <row r="317" spans="12:12" x14ac:dyDescent="0.3">
      <c r="L317" s="37"/>
    </row>
    <row r="318" spans="12:12" x14ac:dyDescent="0.3">
      <c r="L318" s="37"/>
    </row>
    <row r="319" spans="12:12" x14ac:dyDescent="0.3">
      <c r="L319" s="37"/>
    </row>
    <row r="320" spans="12:12" x14ac:dyDescent="0.3">
      <c r="L320" s="37"/>
    </row>
    <row r="321" spans="12:12" x14ac:dyDescent="0.3">
      <c r="L321" s="37"/>
    </row>
    <row r="322" spans="12:12" x14ac:dyDescent="0.3">
      <c r="L322" s="37"/>
    </row>
    <row r="323" spans="12:12" x14ac:dyDescent="0.3">
      <c r="L323" s="37"/>
    </row>
    <row r="324" spans="12:12" x14ac:dyDescent="0.3">
      <c r="L324" s="37"/>
    </row>
    <row r="325" spans="12:12" x14ac:dyDescent="0.3">
      <c r="L325" s="37"/>
    </row>
    <row r="326" spans="12:12" x14ac:dyDescent="0.3">
      <c r="L326" s="37"/>
    </row>
    <row r="327" spans="12:12" x14ac:dyDescent="0.3">
      <c r="L327" s="37"/>
    </row>
    <row r="328" spans="12:12" x14ac:dyDescent="0.3">
      <c r="L328" s="37"/>
    </row>
    <row r="329" spans="12:12" x14ac:dyDescent="0.3">
      <c r="L329" s="37"/>
    </row>
    <row r="330" spans="12:12" x14ac:dyDescent="0.3">
      <c r="L330" s="37"/>
    </row>
    <row r="331" spans="12:12" x14ac:dyDescent="0.3">
      <c r="L331" s="37"/>
    </row>
    <row r="332" spans="12:12" x14ac:dyDescent="0.3">
      <c r="L332" s="37"/>
    </row>
    <row r="333" spans="12:12" x14ac:dyDescent="0.3">
      <c r="L333" s="37"/>
    </row>
    <row r="334" spans="12:12" x14ac:dyDescent="0.3">
      <c r="L334" s="37"/>
    </row>
    <row r="335" spans="12:12" x14ac:dyDescent="0.3">
      <c r="L335" s="37"/>
    </row>
    <row r="336" spans="12:12" x14ac:dyDescent="0.3">
      <c r="L336" s="37"/>
    </row>
    <row r="337" spans="12:12" x14ac:dyDescent="0.3">
      <c r="L337" s="37"/>
    </row>
    <row r="338" spans="12:12" x14ac:dyDescent="0.3">
      <c r="L338" s="37"/>
    </row>
    <row r="339" spans="12:12" x14ac:dyDescent="0.3">
      <c r="L339" s="37"/>
    </row>
    <row r="340" spans="12:12" x14ac:dyDescent="0.3">
      <c r="L340" s="37"/>
    </row>
    <row r="341" spans="12:12" x14ac:dyDescent="0.3">
      <c r="L341" s="37"/>
    </row>
    <row r="342" spans="12:12" x14ac:dyDescent="0.3">
      <c r="L342" s="37"/>
    </row>
    <row r="343" spans="12:12" x14ac:dyDescent="0.3">
      <c r="L343" s="37"/>
    </row>
    <row r="344" spans="12:12" x14ac:dyDescent="0.3">
      <c r="L344" s="37"/>
    </row>
    <row r="345" spans="12:12" x14ac:dyDescent="0.3">
      <c r="L345" s="37"/>
    </row>
    <row r="346" spans="12:12" x14ac:dyDescent="0.3">
      <c r="L346" s="37"/>
    </row>
    <row r="347" spans="12:12" x14ac:dyDescent="0.3">
      <c r="L347" s="37"/>
    </row>
    <row r="348" spans="12:12" x14ac:dyDescent="0.3">
      <c r="L348" s="37"/>
    </row>
    <row r="349" spans="12:12" x14ac:dyDescent="0.3">
      <c r="L349" s="37"/>
    </row>
    <row r="350" spans="12:12" x14ac:dyDescent="0.3">
      <c r="L350" s="37"/>
    </row>
    <row r="351" spans="12:12" x14ac:dyDescent="0.3">
      <c r="L351" s="37"/>
    </row>
    <row r="352" spans="12:12" x14ac:dyDescent="0.3">
      <c r="L352" s="37"/>
    </row>
    <row r="353" spans="12:12" x14ac:dyDescent="0.3">
      <c r="L353" s="37"/>
    </row>
    <row r="354" spans="12:12" x14ac:dyDescent="0.3">
      <c r="L354" s="37"/>
    </row>
    <row r="355" spans="12:12" x14ac:dyDescent="0.3">
      <c r="L355" s="37"/>
    </row>
    <row r="356" spans="12:12" x14ac:dyDescent="0.3">
      <c r="L356" s="37"/>
    </row>
    <row r="357" spans="12:12" x14ac:dyDescent="0.3">
      <c r="L357" s="37"/>
    </row>
    <row r="358" spans="12:12" x14ac:dyDescent="0.3">
      <c r="L358" s="37"/>
    </row>
    <row r="359" spans="12:12" x14ac:dyDescent="0.3">
      <c r="L359" s="37"/>
    </row>
    <row r="360" spans="12:12" x14ac:dyDescent="0.3">
      <c r="L360" s="37"/>
    </row>
    <row r="361" spans="12:12" x14ac:dyDescent="0.3">
      <c r="L361" s="37"/>
    </row>
    <row r="362" spans="12:12" x14ac:dyDescent="0.3">
      <c r="L362" s="37"/>
    </row>
    <row r="363" spans="12:12" x14ac:dyDescent="0.3">
      <c r="L363" s="37"/>
    </row>
    <row r="364" spans="12:12" x14ac:dyDescent="0.3">
      <c r="L364" s="37"/>
    </row>
    <row r="365" spans="12:12" x14ac:dyDescent="0.3">
      <c r="L365" s="37"/>
    </row>
    <row r="366" spans="12:12" x14ac:dyDescent="0.3">
      <c r="L366" s="37"/>
    </row>
    <row r="367" spans="12:12" x14ac:dyDescent="0.3">
      <c r="L367" s="37"/>
    </row>
    <row r="368" spans="12:12" x14ac:dyDescent="0.3">
      <c r="L368" s="37"/>
    </row>
    <row r="369" spans="12:12" x14ac:dyDescent="0.3">
      <c r="L369" s="37"/>
    </row>
    <row r="370" spans="12:12" x14ac:dyDescent="0.3">
      <c r="L370" s="37"/>
    </row>
    <row r="371" spans="12:12" x14ac:dyDescent="0.3">
      <c r="L371" s="37"/>
    </row>
    <row r="372" spans="12:12" x14ac:dyDescent="0.3">
      <c r="L372" s="37"/>
    </row>
    <row r="373" spans="12:12" x14ac:dyDescent="0.3">
      <c r="L373" s="37"/>
    </row>
    <row r="374" spans="12:12" x14ac:dyDescent="0.3">
      <c r="L374" s="37"/>
    </row>
    <row r="375" spans="12:12" x14ac:dyDescent="0.3">
      <c r="L375" s="37"/>
    </row>
    <row r="376" spans="12:12" x14ac:dyDescent="0.3">
      <c r="L376" s="37"/>
    </row>
    <row r="377" spans="12:12" x14ac:dyDescent="0.3">
      <c r="L377" s="37"/>
    </row>
    <row r="378" spans="12:12" x14ac:dyDescent="0.3">
      <c r="L378" s="37"/>
    </row>
    <row r="379" spans="12:12" x14ac:dyDescent="0.3">
      <c r="L379" s="37"/>
    </row>
    <row r="380" spans="12:12" x14ac:dyDescent="0.3">
      <c r="L380" s="37"/>
    </row>
    <row r="381" spans="12:12" x14ac:dyDescent="0.3">
      <c r="L381" s="37"/>
    </row>
    <row r="382" spans="12:12" x14ac:dyDescent="0.3">
      <c r="L382" s="37"/>
    </row>
    <row r="383" spans="12:12" x14ac:dyDescent="0.3">
      <c r="L383" s="37"/>
    </row>
    <row r="384" spans="12:12" x14ac:dyDescent="0.3">
      <c r="L384" s="37"/>
    </row>
    <row r="385" spans="12:12" x14ac:dyDescent="0.3">
      <c r="L385" s="37"/>
    </row>
    <row r="386" spans="12:12" x14ac:dyDescent="0.3">
      <c r="L386" s="37"/>
    </row>
    <row r="387" spans="12:12" x14ac:dyDescent="0.3">
      <c r="L387" s="37"/>
    </row>
    <row r="388" spans="12:12" x14ac:dyDescent="0.3">
      <c r="L388" s="37"/>
    </row>
    <row r="389" spans="12:12" x14ac:dyDescent="0.3">
      <c r="L389" s="37"/>
    </row>
    <row r="390" spans="12:12" x14ac:dyDescent="0.3">
      <c r="L390" s="37"/>
    </row>
    <row r="391" spans="12:12" x14ac:dyDescent="0.3">
      <c r="L391" s="37"/>
    </row>
    <row r="392" spans="12:12" x14ac:dyDescent="0.3">
      <c r="L392" s="37"/>
    </row>
    <row r="393" spans="12:12" x14ac:dyDescent="0.3">
      <c r="L393" s="37"/>
    </row>
    <row r="394" spans="12:12" x14ac:dyDescent="0.3">
      <c r="L394" s="37"/>
    </row>
    <row r="395" spans="12:12" x14ac:dyDescent="0.3">
      <c r="L395" s="37"/>
    </row>
    <row r="396" spans="12:12" x14ac:dyDescent="0.3">
      <c r="L396" s="37"/>
    </row>
    <row r="397" spans="12:12" x14ac:dyDescent="0.3">
      <c r="L397" s="37"/>
    </row>
    <row r="398" spans="12:12" x14ac:dyDescent="0.3">
      <c r="L398" s="37"/>
    </row>
    <row r="399" spans="12:12" x14ac:dyDescent="0.3">
      <c r="L399" s="37"/>
    </row>
    <row r="400" spans="12:12" x14ac:dyDescent="0.3">
      <c r="L400" s="37"/>
    </row>
    <row r="401" spans="12:12" x14ac:dyDescent="0.3">
      <c r="L401" s="37"/>
    </row>
    <row r="402" spans="12:12" x14ac:dyDescent="0.3">
      <c r="L402" s="37"/>
    </row>
    <row r="403" spans="12:12" x14ac:dyDescent="0.3">
      <c r="L403" s="37"/>
    </row>
    <row r="404" spans="12:12" x14ac:dyDescent="0.3">
      <c r="L404" s="37"/>
    </row>
    <row r="405" spans="12:12" x14ac:dyDescent="0.3">
      <c r="L405" s="37"/>
    </row>
    <row r="406" spans="12:12" x14ac:dyDescent="0.3">
      <c r="L406" s="37"/>
    </row>
    <row r="407" spans="12:12" x14ac:dyDescent="0.3">
      <c r="L407" s="37"/>
    </row>
    <row r="408" spans="12:12" x14ac:dyDescent="0.3">
      <c r="L408" s="37"/>
    </row>
    <row r="409" spans="12:12" x14ac:dyDescent="0.3">
      <c r="L409" s="37"/>
    </row>
    <row r="410" spans="12:12" x14ac:dyDescent="0.3">
      <c r="L410" s="37"/>
    </row>
    <row r="411" spans="12:12" x14ac:dyDescent="0.3">
      <c r="L411" s="37"/>
    </row>
    <row r="412" spans="12:12" x14ac:dyDescent="0.3">
      <c r="L412" s="37"/>
    </row>
    <row r="413" spans="12:12" x14ac:dyDescent="0.3">
      <c r="L413" s="37"/>
    </row>
    <row r="414" spans="12:12" x14ac:dyDescent="0.3">
      <c r="L414" s="37"/>
    </row>
    <row r="415" spans="12:12" x14ac:dyDescent="0.3">
      <c r="L415" s="37"/>
    </row>
    <row r="416" spans="12:12" x14ac:dyDescent="0.3">
      <c r="L416" s="37"/>
    </row>
    <row r="417" spans="12:12" x14ac:dyDescent="0.3">
      <c r="L417" s="37"/>
    </row>
    <row r="418" spans="12:12" x14ac:dyDescent="0.3">
      <c r="L418" s="37"/>
    </row>
    <row r="419" spans="12:12" x14ac:dyDescent="0.3">
      <c r="L419" s="37"/>
    </row>
    <row r="420" spans="12:12" x14ac:dyDescent="0.3">
      <c r="L420" s="37"/>
    </row>
    <row r="421" spans="12:12" x14ac:dyDescent="0.3">
      <c r="L421" s="37"/>
    </row>
    <row r="422" spans="12:12" x14ac:dyDescent="0.3">
      <c r="L422" s="37"/>
    </row>
    <row r="423" spans="12:12" x14ac:dyDescent="0.3">
      <c r="L423" s="37"/>
    </row>
    <row r="424" spans="12:12" x14ac:dyDescent="0.3">
      <c r="L424" s="37"/>
    </row>
    <row r="425" spans="12:12" x14ac:dyDescent="0.3">
      <c r="L425" s="37"/>
    </row>
    <row r="426" spans="12:12" x14ac:dyDescent="0.3">
      <c r="L426" s="37"/>
    </row>
    <row r="427" spans="12:12" x14ac:dyDescent="0.3">
      <c r="L427" s="37"/>
    </row>
    <row r="428" spans="12:12" x14ac:dyDescent="0.3">
      <c r="L428" s="37"/>
    </row>
    <row r="429" spans="12:12" x14ac:dyDescent="0.3">
      <c r="L429" s="37"/>
    </row>
    <row r="430" spans="12:12" x14ac:dyDescent="0.3">
      <c r="L430" s="37"/>
    </row>
    <row r="431" spans="12:12" x14ac:dyDescent="0.3">
      <c r="L431" s="37"/>
    </row>
    <row r="432" spans="12:12" x14ac:dyDescent="0.3">
      <c r="L432" s="37"/>
    </row>
    <row r="433" spans="12:12" x14ac:dyDescent="0.3">
      <c r="L433" s="37"/>
    </row>
    <row r="434" spans="12:12" x14ac:dyDescent="0.3">
      <c r="L434" s="37"/>
    </row>
    <row r="435" spans="12:12" x14ac:dyDescent="0.3">
      <c r="L435" s="37"/>
    </row>
    <row r="436" spans="12:12" x14ac:dyDescent="0.3">
      <c r="L436" s="37"/>
    </row>
    <row r="437" spans="12:12" x14ac:dyDescent="0.3">
      <c r="L437" s="37"/>
    </row>
    <row r="438" spans="12:12" x14ac:dyDescent="0.3">
      <c r="L438" s="37"/>
    </row>
    <row r="439" spans="12:12" x14ac:dyDescent="0.3">
      <c r="L439" s="37"/>
    </row>
    <row r="440" spans="12:12" x14ac:dyDescent="0.3">
      <c r="L440" s="37"/>
    </row>
    <row r="441" spans="12:12" x14ac:dyDescent="0.3">
      <c r="L441" s="37"/>
    </row>
    <row r="442" spans="12:12" x14ac:dyDescent="0.3">
      <c r="L442" s="37"/>
    </row>
    <row r="443" spans="12:12" x14ac:dyDescent="0.3">
      <c r="L443" s="37"/>
    </row>
    <row r="444" spans="12:12" x14ac:dyDescent="0.3">
      <c r="L444" s="37"/>
    </row>
    <row r="445" spans="12:12" x14ac:dyDescent="0.3">
      <c r="L445" s="37"/>
    </row>
    <row r="446" spans="12:12" x14ac:dyDescent="0.3">
      <c r="L446" s="37"/>
    </row>
    <row r="447" spans="12:12" x14ac:dyDescent="0.3">
      <c r="L447" s="37"/>
    </row>
    <row r="448" spans="12:12" x14ac:dyDescent="0.3">
      <c r="L448" s="37"/>
    </row>
    <row r="449" spans="12:12" x14ac:dyDescent="0.3">
      <c r="L449" s="37"/>
    </row>
    <row r="450" spans="12:12" x14ac:dyDescent="0.3">
      <c r="L450" s="37"/>
    </row>
    <row r="451" spans="12:12" x14ac:dyDescent="0.3">
      <c r="L451" s="37"/>
    </row>
    <row r="452" spans="12:12" x14ac:dyDescent="0.3">
      <c r="L452" s="37"/>
    </row>
    <row r="453" spans="12:12" x14ac:dyDescent="0.3">
      <c r="L453" s="37"/>
    </row>
    <row r="454" spans="12:12" x14ac:dyDescent="0.3">
      <c r="L454" s="37"/>
    </row>
    <row r="455" spans="12:12" x14ac:dyDescent="0.3">
      <c r="L455" s="37"/>
    </row>
    <row r="456" spans="12:12" x14ac:dyDescent="0.3">
      <c r="L456" s="37"/>
    </row>
    <row r="457" spans="12:12" x14ac:dyDescent="0.3">
      <c r="L457" s="37"/>
    </row>
    <row r="458" spans="12:12" x14ac:dyDescent="0.3">
      <c r="L458" s="37"/>
    </row>
    <row r="459" spans="12:12" x14ac:dyDescent="0.3">
      <c r="L459" s="37"/>
    </row>
    <row r="460" spans="12:12" x14ac:dyDescent="0.3">
      <c r="L460" s="37"/>
    </row>
    <row r="461" spans="12:12" x14ac:dyDescent="0.3">
      <c r="L461" s="37"/>
    </row>
    <row r="462" spans="12:12" x14ac:dyDescent="0.3">
      <c r="L462" s="37"/>
    </row>
    <row r="463" spans="12:12" x14ac:dyDescent="0.3">
      <c r="L463" s="37"/>
    </row>
    <row r="464" spans="12:12" x14ac:dyDescent="0.3">
      <c r="L464" s="37"/>
    </row>
    <row r="465" spans="12:12" x14ac:dyDescent="0.3">
      <c r="L465" s="37"/>
    </row>
    <row r="466" spans="12:12" x14ac:dyDescent="0.3">
      <c r="L466" s="37"/>
    </row>
    <row r="467" spans="12:12" x14ac:dyDescent="0.3">
      <c r="L467" s="37"/>
    </row>
    <row r="468" spans="12:12" x14ac:dyDescent="0.3">
      <c r="L468" s="37"/>
    </row>
    <row r="469" spans="12:12" x14ac:dyDescent="0.3">
      <c r="L469" s="37"/>
    </row>
    <row r="470" spans="12:12" x14ac:dyDescent="0.3">
      <c r="L470" s="37"/>
    </row>
    <row r="471" spans="12:12" x14ac:dyDescent="0.3">
      <c r="L471" s="37"/>
    </row>
    <row r="472" spans="12:12" x14ac:dyDescent="0.3">
      <c r="L472" s="37"/>
    </row>
    <row r="473" spans="12:12" x14ac:dyDescent="0.3">
      <c r="L473" s="37"/>
    </row>
    <row r="474" spans="12:12" x14ac:dyDescent="0.3">
      <c r="L474" s="37"/>
    </row>
    <row r="475" spans="12:12" x14ac:dyDescent="0.3">
      <c r="L475" s="37"/>
    </row>
    <row r="476" spans="12:12" x14ac:dyDescent="0.3">
      <c r="L476" s="37"/>
    </row>
    <row r="477" spans="12:12" x14ac:dyDescent="0.3">
      <c r="L477" s="37"/>
    </row>
    <row r="478" spans="12:12" x14ac:dyDescent="0.3">
      <c r="L478" s="37"/>
    </row>
    <row r="479" spans="12:12" x14ac:dyDescent="0.3">
      <c r="L479" s="37"/>
    </row>
    <row r="480" spans="12:12" x14ac:dyDescent="0.3">
      <c r="L480" s="37"/>
    </row>
    <row r="481" spans="12:12" x14ac:dyDescent="0.3">
      <c r="L481" s="37"/>
    </row>
    <row r="482" spans="12:12" x14ac:dyDescent="0.3">
      <c r="L482" s="37"/>
    </row>
    <row r="483" spans="12:12" x14ac:dyDescent="0.3">
      <c r="L483" s="37"/>
    </row>
    <row r="484" spans="12:12" x14ac:dyDescent="0.3">
      <c r="L484" s="37"/>
    </row>
    <row r="485" spans="12:12" x14ac:dyDescent="0.3">
      <c r="L485" s="37"/>
    </row>
    <row r="486" spans="12:12" x14ac:dyDescent="0.3">
      <c r="L486" s="37"/>
    </row>
    <row r="487" spans="12:12" x14ac:dyDescent="0.3">
      <c r="L487" s="37"/>
    </row>
    <row r="488" spans="12:12" x14ac:dyDescent="0.3">
      <c r="L488" s="37"/>
    </row>
    <row r="489" spans="12:12" x14ac:dyDescent="0.3">
      <c r="L489" s="37"/>
    </row>
    <row r="490" spans="12:12" x14ac:dyDescent="0.3">
      <c r="L490" s="37"/>
    </row>
    <row r="491" spans="12:12" x14ac:dyDescent="0.3">
      <c r="L491" s="37"/>
    </row>
    <row r="492" spans="12:12" x14ac:dyDescent="0.3">
      <c r="L492" s="37"/>
    </row>
    <row r="493" spans="12:12" x14ac:dyDescent="0.3">
      <c r="L493" s="37"/>
    </row>
    <row r="494" spans="12:12" x14ac:dyDescent="0.3">
      <c r="L494" s="37"/>
    </row>
    <row r="495" spans="12:12" x14ac:dyDescent="0.3">
      <c r="L495" s="37"/>
    </row>
    <row r="496" spans="12:12" x14ac:dyDescent="0.3">
      <c r="L496" s="37"/>
    </row>
    <row r="497" spans="12:12" x14ac:dyDescent="0.3">
      <c r="L497" s="37"/>
    </row>
    <row r="498" spans="12:12" x14ac:dyDescent="0.3">
      <c r="L498" s="37"/>
    </row>
    <row r="499" spans="12:12" x14ac:dyDescent="0.3">
      <c r="L499" s="37"/>
    </row>
    <row r="500" spans="12:12" x14ac:dyDescent="0.3">
      <c r="L500" s="37"/>
    </row>
    <row r="501" spans="12:12" x14ac:dyDescent="0.3">
      <c r="L501" s="37"/>
    </row>
    <row r="502" spans="12:12" x14ac:dyDescent="0.3">
      <c r="L502" s="37"/>
    </row>
    <row r="503" spans="12:12" x14ac:dyDescent="0.3">
      <c r="L503" s="37"/>
    </row>
    <row r="504" spans="12:12" x14ac:dyDescent="0.3">
      <c r="L504" s="37"/>
    </row>
    <row r="505" spans="12:12" x14ac:dyDescent="0.3">
      <c r="L505" s="37"/>
    </row>
    <row r="506" spans="12:12" x14ac:dyDescent="0.3">
      <c r="L506" s="37"/>
    </row>
    <row r="507" spans="12:12" x14ac:dyDescent="0.3">
      <c r="L507" s="37"/>
    </row>
    <row r="508" spans="12:12" x14ac:dyDescent="0.3">
      <c r="L508" s="37"/>
    </row>
    <row r="509" spans="12:12" x14ac:dyDescent="0.3">
      <c r="L509" s="37"/>
    </row>
    <row r="510" spans="12:12" x14ac:dyDescent="0.3">
      <c r="L510" s="37"/>
    </row>
    <row r="511" spans="12:12" x14ac:dyDescent="0.3">
      <c r="L511" s="37"/>
    </row>
    <row r="512" spans="12:12" x14ac:dyDescent="0.3">
      <c r="L512" s="37"/>
    </row>
    <row r="513" spans="12:12" x14ac:dyDescent="0.3">
      <c r="L513" s="37"/>
    </row>
    <row r="514" spans="12:12" x14ac:dyDescent="0.3">
      <c r="L514" s="37"/>
    </row>
    <row r="515" spans="12:12" x14ac:dyDescent="0.3">
      <c r="L515" s="37"/>
    </row>
    <row r="516" spans="12:12" x14ac:dyDescent="0.3">
      <c r="L516" s="37"/>
    </row>
    <row r="517" spans="12:12" x14ac:dyDescent="0.3">
      <c r="L517" s="37"/>
    </row>
    <row r="518" spans="12:12" x14ac:dyDescent="0.3">
      <c r="L518" s="37"/>
    </row>
    <row r="519" spans="12:12" x14ac:dyDescent="0.3">
      <c r="L519" s="37"/>
    </row>
    <row r="520" spans="12:12" x14ac:dyDescent="0.3">
      <c r="L520" s="37"/>
    </row>
    <row r="521" spans="12:12" x14ac:dyDescent="0.3">
      <c r="L521" s="37"/>
    </row>
    <row r="522" spans="12:12" x14ac:dyDescent="0.3">
      <c r="L522" s="37"/>
    </row>
    <row r="523" spans="12:12" x14ac:dyDescent="0.3">
      <c r="L523" s="37"/>
    </row>
    <row r="524" spans="12:12" x14ac:dyDescent="0.3">
      <c r="L524" s="37"/>
    </row>
    <row r="525" spans="12:12" x14ac:dyDescent="0.3">
      <c r="L525" s="37"/>
    </row>
    <row r="526" spans="12:12" x14ac:dyDescent="0.3">
      <c r="L526" s="37"/>
    </row>
    <row r="527" spans="12:12" x14ac:dyDescent="0.3">
      <c r="L527" s="37"/>
    </row>
    <row r="528" spans="12:12" x14ac:dyDescent="0.3">
      <c r="L528" s="37"/>
    </row>
    <row r="529" spans="12:12" x14ac:dyDescent="0.3">
      <c r="L529" s="37"/>
    </row>
    <row r="530" spans="12:12" x14ac:dyDescent="0.3">
      <c r="L530" s="37"/>
    </row>
    <row r="531" spans="12:12" x14ac:dyDescent="0.3">
      <c r="L531" s="37"/>
    </row>
    <row r="532" spans="12:12" x14ac:dyDescent="0.3">
      <c r="L532" s="37"/>
    </row>
    <row r="533" spans="12:12" x14ac:dyDescent="0.3">
      <c r="L533" s="37"/>
    </row>
    <row r="534" spans="12:12" x14ac:dyDescent="0.3">
      <c r="L534" s="37"/>
    </row>
    <row r="535" spans="12:12" x14ac:dyDescent="0.3">
      <c r="L535" s="37"/>
    </row>
    <row r="536" spans="12:12" x14ac:dyDescent="0.3">
      <c r="L536" s="37"/>
    </row>
    <row r="537" spans="12:12" x14ac:dyDescent="0.3">
      <c r="L537" s="37"/>
    </row>
    <row r="538" spans="12:12" x14ac:dyDescent="0.3">
      <c r="L538" s="37"/>
    </row>
    <row r="539" spans="12:12" x14ac:dyDescent="0.3">
      <c r="L539" s="37"/>
    </row>
    <row r="540" spans="12:12" x14ac:dyDescent="0.3">
      <c r="L540" s="37"/>
    </row>
    <row r="541" spans="12:12" x14ac:dyDescent="0.3">
      <c r="L541" s="37"/>
    </row>
    <row r="542" spans="12:12" x14ac:dyDescent="0.3">
      <c r="L542" s="37"/>
    </row>
    <row r="543" spans="12:12" x14ac:dyDescent="0.3">
      <c r="L543" s="37"/>
    </row>
    <row r="544" spans="12:12" x14ac:dyDescent="0.3">
      <c r="L544" s="37"/>
    </row>
    <row r="545" spans="12:12" x14ac:dyDescent="0.3">
      <c r="L545" s="37"/>
    </row>
    <row r="546" spans="12:12" x14ac:dyDescent="0.3">
      <c r="L546" s="37"/>
    </row>
    <row r="547" spans="12:12" x14ac:dyDescent="0.3">
      <c r="L547" s="37"/>
    </row>
    <row r="548" spans="12:12" x14ac:dyDescent="0.3">
      <c r="L548" s="37"/>
    </row>
    <row r="549" spans="12:12" x14ac:dyDescent="0.3">
      <c r="L549" s="37"/>
    </row>
    <row r="550" spans="12:12" x14ac:dyDescent="0.3">
      <c r="L550" s="37"/>
    </row>
    <row r="551" spans="12:12" x14ac:dyDescent="0.3">
      <c r="L551" s="37"/>
    </row>
    <row r="552" spans="12:12" x14ac:dyDescent="0.3">
      <c r="L552" s="37"/>
    </row>
    <row r="553" spans="12:12" x14ac:dyDescent="0.3">
      <c r="L553" s="37"/>
    </row>
    <row r="554" spans="12:12" x14ac:dyDescent="0.3">
      <c r="L554" s="37"/>
    </row>
    <row r="555" spans="12:12" x14ac:dyDescent="0.3">
      <c r="L555" s="37"/>
    </row>
    <row r="556" spans="12:12" x14ac:dyDescent="0.3">
      <c r="L556" s="37"/>
    </row>
    <row r="557" spans="12:12" x14ac:dyDescent="0.3">
      <c r="L557" s="37"/>
    </row>
    <row r="558" spans="12:12" x14ac:dyDescent="0.3">
      <c r="L558" s="37"/>
    </row>
    <row r="559" spans="12:12" x14ac:dyDescent="0.3">
      <c r="L559" s="37"/>
    </row>
    <row r="560" spans="12:12" x14ac:dyDescent="0.3">
      <c r="L560" s="37"/>
    </row>
    <row r="561" spans="12:12" x14ac:dyDescent="0.3">
      <c r="L561" s="37"/>
    </row>
    <row r="562" spans="12:12" x14ac:dyDescent="0.3">
      <c r="L562" s="37"/>
    </row>
    <row r="563" spans="12:12" x14ac:dyDescent="0.3">
      <c r="L563" s="37"/>
    </row>
    <row r="564" spans="12:12" x14ac:dyDescent="0.3">
      <c r="L564" s="37"/>
    </row>
    <row r="565" spans="12:12" x14ac:dyDescent="0.3">
      <c r="L565" s="37"/>
    </row>
    <row r="566" spans="12:12" x14ac:dyDescent="0.3">
      <c r="L566" s="37"/>
    </row>
    <row r="567" spans="12:12" x14ac:dyDescent="0.3">
      <c r="L567" s="37"/>
    </row>
    <row r="568" spans="12:12" x14ac:dyDescent="0.3">
      <c r="L568" s="37"/>
    </row>
    <row r="569" spans="12:12" x14ac:dyDescent="0.3">
      <c r="L569" s="37"/>
    </row>
    <row r="570" spans="12:12" x14ac:dyDescent="0.3">
      <c r="L570" s="37"/>
    </row>
    <row r="571" spans="12:12" x14ac:dyDescent="0.3">
      <c r="L571" s="37"/>
    </row>
    <row r="572" spans="12:12" x14ac:dyDescent="0.3">
      <c r="L572" s="37"/>
    </row>
    <row r="573" spans="12:12" x14ac:dyDescent="0.3">
      <c r="L573" s="37"/>
    </row>
    <row r="574" spans="12:12" x14ac:dyDescent="0.3">
      <c r="L574" s="37"/>
    </row>
    <row r="575" spans="12:12" x14ac:dyDescent="0.3">
      <c r="L575" s="37"/>
    </row>
    <row r="576" spans="12:12" x14ac:dyDescent="0.3">
      <c r="L576" s="37"/>
    </row>
    <row r="577" spans="12:12" x14ac:dyDescent="0.3">
      <c r="L577" s="37"/>
    </row>
    <row r="578" spans="12:12" x14ac:dyDescent="0.3">
      <c r="L578" s="37"/>
    </row>
    <row r="579" spans="12:12" x14ac:dyDescent="0.3">
      <c r="L579" s="37"/>
    </row>
    <row r="580" spans="12:12" x14ac:dyDescent="0.3">
      <c r="L580" s="37"/>
    </row>
    <row r="581" spans="12:12" x14ac:dyDescent="0.3">
      <c r="L581" s="37"/>
    </row>
    <row r="582" spans="12:12" x14ac:dyDescent="0.3">
      <c r="L582" s="37"/>
    </row>
    <row r="583" spans="12:12" x14ac:dyDescent="0.3">
      <c r="L583" s="37"/>
    </row>
    <row r="584" spans="12:12" x14ac:dyDescent="0.3">
      <c r="L584" s="37"/>
    </row>
    <row r="585" spans="12:12" x14ac:dyDescent="0.3">
      <c r="L585" s="37"/>
    </row>
    <row r="586" spans="12:12" x14ac:dyDescent="0.3">
      <c r="L586" s="37"/>
    </row>
    <row r="587" spans="12:12" x14ac:dyDescent="0.3">
      <c r="L587" s="37"/>
    </row>
    <row r="588" spans="12:12" x14ac:dyDescent="0.3">
      <c r="L588" s="37"/>
    </row>
    <row r="589" spans="12:12" x14ac:dyDescent="0.3">
      <c r="L589" s="37"/>
    </row>
    <row r="590" spans="12:12" x14ac:dyDescent="0.3">
      <c r="L590" s="37"/>
    </row>
    <row r="591" spans="12:12" x14ac:dyDescent="0.3">
      <c r="L591" s="37"/>
    </row>
    <row r="592" spans="12:12" x14ac:dyDescent="0.3">
      <c r="L592" s="37"/>
    </row>
    <row r="593" spans="12:12" x14ac:dyDescent="0.3">
      <c r="L593" s="37"/>
    </row>
    <row r="594" spans="12:12" x14ac:dyDescent="0.3">
      <c r="L594" s="37"/>
    </row>
    <row r="595" spans="12:12" x14ac:dyDescent="0.3">
      <c r="L595" s="37"/>
    </row>
    <row r="596" spans="12:12" x14ac:dyDescent="0.3">
      <c r="L596" s="37"/>
    </row>
    <row r="597" spans="12:12" x14ac:dyDescent="0.3">
      <c r="L597" s="37"/>
    </row>
    <row r="598" spans="12:12" x14ac:dyDescent="0.3">
      <c r="L598" s="37"/>
    </row>
    <row r="599" spans="12:12" x14ac:dyDescent="0.3">
      <c r="L599" s="37"/>
    </row>
    <row r="600" spans="12:12" x14ac:dyDescent="0.3">
      <c r="L600" s="37"/>
    </row>
    <row r="601" spans="12:12" x14ac:dyDescent="0.3">
      <c r="L601" s="37"/>
    </row>
    <row r="602" spans="12:12" x14ac:dyDescent="0.3">
      <c r="L602" s="37"/>
    </row>
    <row r="603" spans="12:12" x14ac:dyDescent="0.3">
      <c r="L603" s="37"/>
    </row>
    <row r="604" spans="12:12" x14ac:dyDescent="0.3">
      <c r="L604" s="37"/>
    </row>
    <row r="605" spans="12:12" x14ac:dyDescent="0.3">
      <c r="L605" s="37"/>
    </row>
    <row r="606" spans="12:12" x14ac:dyDescent="0.3">
      <c r="L606" s="37"/>
    </row>
    <row r="607" spans="12:12" x14ac:dyDescent="0.3">
      <c r="L607" s="37"/>
    </row>
    <row r="608" spans="12:12" x14ac:dyDescent="0.3">
      <c r="L608" s="37"/>
    </row>
    <row r="609" spans="12:12" x14ac:dyDescent="0.3">
      <c r="L609" s="37"/>
    </row>
    <row r="610" spans="12:12" x14ac:dyDescent="0.3">
      <c r="L610" s="37"/>
    </row>
    <row r="611" spans="12:12" x14ac:dyDescent="0.3">
      <c r="L611" s="37"/>
    </row>
    <row r="612" spans="12:12" x14ac:dyDescent="0.3">
      <c r="L612" s="37"/>
    </row>
    <row r="613" spans="12:12" x14ac:dyDescent="0.3">
      <c r="L613" s="37"/>
    </row>
    <row r="614" spans="12:12" x14ac:dyDescent="0.3">
      <c r="L614" s="37"/>
    </row>
    <row r="615" spans="12:12" x14ac:dyDescent="0.3">
      <c r="L615" s="37"/>
    </row>
    <row r="616" spans="12:12" x14ac:dyDescent="0.3">
      <c r="L616" s="37"/>
    </row>
    <row r="617" spans="12:12" x14ac:dyDescent="0.3">
      <c r="L617" s="37"/>
    </row>
    <row r="618" spans="12:12" x14ac:dyDescent="0.3">
      <c r="L618" s="37"/>
    </row>
    <row r="619" spans="12:12" x14ac:dyDescent="0.3">
      <c r="L619" s="37"/>
    </row>
    <row r="620" spans="12:12" x14ac:dyDescent="0.3">
      <c r="L620" s="37"/>
    </row>
    <row r="621" spans="12:12" x14ac:dyDescent="0.3">
      <c r="L621" s="37"/>
    </row>
    <row r="622" spans="12:12" x14ac:dyDescent="0.3">
      <c r="L622" s="37"/>
    </row>
    <row r="623" spans="12:12" x14ac:dyDescent="0.3">
      <c r="L623" s="37"/>
    </row>
    <row r="624" spans="12:12" x14ac:dyDescent="0.3">
      <c r="L624" s="37"/>
    </row>
    <row r="625" spans="12:12" x14ac:dyDescent="0.3">
      <c r="L625" s="37"/>
    </row>
    <row r="626" spans="12:12" x14ac:dyDescent="0.3">
      <c r="L626" s="37"/>
    </row>
    <row r="627" spans="12:12" x14ac:dyDescent="0.3">
      <c r="L627" s="37"/>
    </row>
    <row r="628" spans="12:12" x14ac:dyDescent="0.3">
      <c r="L628" s="37"/>
    </row>
    <row r="629" spans="12:12" x14ac:dyDescent="0.3">
      <c r="L629" s="37"/>
    </row>
    <row r="630" spans="12:12" x14ac:dyDescent="0.3">
      <c r="L630" s="37"/>
    </row>
    <row r="631" spans="12:12" x14ac:dyDescent="0.3">
      <c r="L631" s="37"/>
    </row>
    <row r="632" spans="12:12" x14ac:dyDescent="0.3">
      <c r="L632" s="37"/>
    </row>
    <row r="633" spans="12:12" x14ac:dyDescent="0.3">
      <c r="L633" s="37"/>
    </row>
    <row r="634" spans="12:12" x14ac:dyDescent="0.3">
      <c r="L634" s="37"/>
    </row>
    <row r="635" spans="12:12" x14ac:dyDescent="0.3">
      <c r="L635" s="37"/>
    </row>
    <row r="636" spans="12:12" x14ac:dyDescent="0.3">
      <c r="L636" s="37"/>
    </row>
    <row r="637" spans="12:12" x14ac:dyDescent="0.3">
      <c r="L637" s="37"/>
    </row>
    <row r="638" spans="12:12" x14ac:dyDescent="0.3">
      <c r="L638" s="37"/>
    </row>
    <row r="639" spans="12:12" x14ac:dyDescent="0.3">
      <c r="L639" s="37"/>
    </row>
    <row r="640" spans="12:12" x14ac:dyDescent="0.3">
      <c r="L640" s="37"/>
    </row>
    <row r="641" spans="12:12" x14ac:dyDescent="0.3">
      <c r="L641" s="37"/>
    </row>
    <row r="642" spans="12:12" x14ac:dyDescent="0.3">
      <c r="L642" s="37"/>
    </row>
    <row r="643" spans="12:12" x14ac:dyDescent="0.3">
      <c r="L643" s="37"/>
    </row>
    <row r="644" spans="12:12" x14ac:dyDescent="0.3">
      <c r="L644" s="37"/>
    </row>
    <row r="645" spans="12:12" x14ac:dyDescent="0.3">
      <c r="L645" s="37"/>
    </row>
    <row r="646" spans="12:12" x14ac:dyDescent="0.3">
      <c r="L646" s="37"/>
    </row>
    <row r="647" spans="12:12" x14ac:dyDescent="0.3">
      <c r="L647" s="37"/>
    </row>
    <row r="648" spans="12:12" x14ac:dyDescent="0.3">
      <c r="L648" s="37"/>
    </row>
    <row r="649" spans="12:12" x14ac:dyDescent="0.3">
      <c r="L649" s="37"/>
    </row>
    <row r="650" spans="12:12" x14ac:dyDescent="0.3">
      <c r="L650" s="37"/>
    </row>
    <row r="651" spans="12:12" x14ac:dyDescent="0.3">
      <c r="L651" s="37"/>
    </row>
    <row r="652" spans="12:12" x14ac:dyDescent="0.3">
      <c r="L652" s="37"/>
    </row>
    <row r="653" spans="12:12" x14ac:dyDescent="0.3">
      <c r="L653" s="37"/>
    </row>
    <row r="654" spans="12:12" x14ac:dyDescent="0.3">
      <c r="L654" s="37"/>
    </row>
    <row r="655" spans="12:12" x14ac:dyDescent="0.3">
      <c r="L655" s="37"/>
    </row>
    <row r="656" spans="12:12" x14ac:dyDescent="0.3">
      <c r="L656" s="37"/>
    </row>
    <row r="657" spans="12:12" x14ac:dyDescent="0.3">
      <c r="L657" s="37"/>
    </row>
    <row r="658" spans="12:12" x14ac:dyDescent="0.3">
      <c r="L658" s="37"/>
    </row>
    <row r="659" spans="12:12" x14ac:dyDescent="0.3">
      <c r="L659" s="37"/>
    </row>
    <row r="660" spans="12:12" x14ac:dyDescent="0.3">
      <c r="L660" s="37"/>
    </row>
    <row r="661" spans="12:12" x14ac:dyDescent="0.3">
      <c r="L661" s="37"/>
    </row>
    <row r="662" spans="12:12" x14ac:dyDescent="0.3">
      <c r="L662" s="37"/>
    </row>
    <row r="663" spans="12:12" x14ac:dyDescent="0.3">
      <c r="L663" s="37"/>
    </row>
    <row r="664" spans="12:12" x14ac:dyDescent="0.3">
      <c r="L664" s="37"/>
    </row>
    <row r="665" spans="12:12" x14ac:dyDescent="0.3">
      <c r="L665" s="37"/>
    </row>
    <row r="666" spans="12:12" x14ac:dyDescent="0.3">
      <c r="L666" s="37"/>
    </row>
    <row r="667" spans="12:12" x14ac:dyDescent="0.3">
      <c r="L667" s="37"/>
    </row>
    <row r="668" spans="12:12" x14ac:dyDescent="0.3">
      <c r="L668" s="37"/>
    </row>
    <row r="669" spans="12:12" x14ac:dyDescent="0.3">
      <c r="L669" s="37"/>
    </row>
    <row r="670" spans="12:12" x14ac:dyDescent="0.3">
      <c r="L670" s="37"/>
    </row>
    <row r="671" spans="12:12" x14ac:dyDescent="0.3">
      <c r="L671" s="37"/>
    </row>
    <row r="672" spans="12:12" x14ac:dyDescent="0.3">
      <c r="L672" s="37"/>
    </row>
    <row r="673" spans="12:12" x14ac:dyDescent="0.3">
      <c r="L673" s="37"/>
    </row>
    <row r="674" spans="12:12" x14ac:dyDescent="0.3">
      <c r="L674" s="37"/>
    </row>
    <row r="675" spans="12:12" x14ac:dyDescent="0.3">
      <c r="L675" s="37"/>
    </row>
    <row r="676" spans="12:12" x14ac:dyDescent="0.3">
      <c r="L676" s="37"/>
    </row>
    <row r="677" spans="12:12" x14ac:dyDescent="0.3">
      <c r="L677" s="37"/>
    </row>
    <row r="678" spans="12:12" x14ac:dyDescent="0.3">
      <c r="L678" s="37"/>
    </row>
    <row r="679" spans="12:12" x14ac:dyDescent="0.3">
      <c r="L679" s="37"/>
    </row>
    <row r="680" spans="12:12" x14ac:dyDescent="0.3">
      <c r="L680" s="37"/>
    </row>
    <row r="681" spans="12:12" x14ac:dyDescent="0.3">
      <c r="L681" s="37"/>
    </row>
    <row r="682" spans="12:12" x14ac:dyDescent="0.3">
      <c r="L682" s="37"/>
    </row>
    <row r="683" spans="12:12" x14ac:dyDescent="0.3">
      <c r="L683" s="37"/>
    </row>
    <row r="684" spans="12:12" x14ac:dyDescent="0.3">
      <c r="L684" s="37"/>
    </row>
    <row r="685" spans="12:12" x14ac:dyDescent="0.3">
      <c r="L685" s="37"/>
    </row>
    <row r="686" spans="12:12" x14ac:dyDescent="0.3">
      <c r="L686" s="37"/>
    </row>
    <row r="687" spans="12:12" x14ac:dyDescent="0.3">
      <c r="L687" s="37"/>
    </row>
    <row r="688" spans="12:12" x14ac:dyDescent="0.3">
      <c r="L688" s="37"/>
    </row>
    <row r="689" spans="12:12" x14ac:dyDescent="0.3">
      <c r="L689" s="37"/>
    </row>
    <row r="690" spans="12:12" x14ac:dyDescent="0.3">
      <c r="L690" s="37"/>
    </row>
    <row r="691" spans="12:12" x14ac:dyDescent="0.3">
      <c r="L691" s="37"/>
    </row>
    <row r="692" spans="12:12" x14ac:dyDescent="0.3">
      <c r="L692" s="37"/>
    </row>
    <row r="693" spans="12:12" x14ac:dyDescent="0.3">
      <c r="L693" s="37"/>
    </row>
    <row r="694" spans="12:12" x14ac:dyDescent="0.3">
      <c r="L694" s="37"/>
    </row>
    <row r="695" spans="12:12" x14ac:dyDescent="0.3">
      <c r="L695" s="37"/>
    </row>
    <row r="696" spans="12:12" x14ac:dyDescent="0.3">
      <c r="L696" s="37"/>
    </row>
    <row r="697" spans="12:12" x14ac:dyDescent="0.3">
      <c r="L697" s="37"/>
    </row>
    <row r="698" spans="12:12" x14ac:dyDescent="0.3">
      <c r="L698" s="37"/>
    </row>
    <row r="699" spans="12:12" x14ac:dyDescent="0.3">
      <c r="L699" s="37"/>
    </row>
    <row r="700" spans="12:12" x14ac:dyDescent="0.3">
      <c r="L700" s="37"/>
    </row>
    <row r="701" spans="12:12" x14ac:dyDescent="0.3">
      <c r="L701" s="37"/>
    </row>
    <row r="702" spans="12:12" x14ac:dyDescent="0.3">
      <c r="L702" s="37"/>
    </row>
    <row r="703" spans="12:12" x14ac:dyDescent="0.3">
      <c r="L703" s="37"/>
    </row>
    <row r="704" spans="12:12" x14ac:dyDescent="0.3">
      <c r="L704" s="37"/>
    </row>
    <row r="705" spans="12:12" x14ac:dyDescent="0.3">
      <c r="L705" s="37"/>
    </row>
    <row r="706" spans="12:12" x14ac:dyDescent="0.3">
      <c r="L706" s="37"/>
    </row>
    <row r="707" spans="12:12" x14ac:dyDescent="0.3">
      <c r="L707" s="37"/>
    </row>
    <row r="708" spans="12:12" x14ac:dyDescent="0.3">
      <c r="L708" s="37"/>
    </row>
    <row r="709" spans="12:12" x14ac:dyDescent="0.3">
      <c r="L709" s="37"/>
    </row>
    <row r="710" spans="12:12" x14ac:dyDescent="0.3">
      <c r="L710" s="37"/>
    </row>
    <row r="711" spans="12:12" x14ac:dyDescent="0.3">
      <c r="L711" s="37"/>
    </row>
    <row r="712" spans="12:12" x14ac:dyDescent="0.3">
      <c r="L712" s="37"/>
    </row>
    <row r="713" spans="12:12" x14ac:dyDescent="0.3">
      <c r="L713" s="37"/>
    </row>
    <row r="714" spans="12:12" x14ac:dyDescent="0.3">
      <c r="L714" s="37"/>
    </row>
    <row r="715" spans="12:12" x14ac:dyDescent="0.3">
      <c r="L715" s="37"/>
    </row>
    <row r="716" spans="12:12" x14ac:dyDescent="0.3">
      <c r="L716" s="37"/>
    </row>
    <row r="717" spans="12:12" x14ac:dyDescent="0.3">
      <c r="L717" s="37"/>
    </row>
    <row r="718" spans="12:12" x14ac:dyDescent="0.3">
      <c r="L718" s="37"/>
    </row>
    <row r="719" spans="12:12" x14ac:dyDescent="0.3">
      <c r="L719" s="37"/>
    </row>
    <row r="720" spans="12:12" x14ac:dyDescent="0.3">
      <c r="L720" s="37"/>
    </row>
    <row r="721" spans="12:12" x14ac:dyDescent="0.3">
      <c r="L721" s="37"/>
    </row>
    <row r="722" spans="12:12" x14ac:dyDescent="0.3">
      <c r="L722" s="37"/>
    </row>
    <row r="723" spans="12:12" x14ac:dyDescent="0.3">
      <c r="L723" s="37"/>
    </row>
    <row r="724" spans="12:12" x14ac:dyDescent="0.3">
      <c r="L724" s="37"/>
    </row>
    <row r="725" spans="12:12" x14ac:dyDescent="0.3">
      <c r="L725" s="37"/>
    </row>
    <row r="726" spans="12:12" x14ac:dyDescent="0.3">
      <c r="L726" s="37"/>
    </row>
    <row r="727" spans="12:12" x14ac:dyDescent="0.3">
      <c r="L727" s="37"/>
    </row>
    <row r="728" spans="12:12" x14ac:dyDescent="0.3">
      <c r="L728" s="37"/>
    </row>
    <row r="729" spans="12:12" x14ac:dyDescent="0.3">
      <c r="L729" s="37"/>
    </row>
    <row r="730" spans="12:12" x14ac:dyDescent="0.3">
      <c r="L730" s="37"/>
    </row>
    <row r="731" spans="12:12" x14ac:dyDescent="0.3">
      <c r="L731" s="37"/>
    </row>
    <row r="732" spans="12:12" x14ac:dyDescent="0.3">
      <c r="L732" s="37"/>
    </row>
    <row r="733" spans="12:12" x14ac:dyDescent="0.3">
      <c r="L733" s="37"/>
    </row>
    <row r="734" spans="12:12" x14ac:dyDescent="0.3">
      <c r="L734" s="37"/>
    </row>
    <row r="735" spans="12:12" x14ac:dyDescent="0.3">
      <c r="L735" s="37"/>
    </row>
    <row r="736" spans="12:12" x14ac:dyDescent="0.3">
      <c r="L736" s="37"/>
    </row>
    <row r="737" spans="12:12" x14ac:dyDescent="0.3">
      <c r="L737" s="37"/>
    </row>
    <row r="738" spans="12:12" x14ac:dyDescent="0.3">
      <c r="L738" s="37"/>
    </row>
    <row r="739" spans="12:12" x14ac:dyDescent="0.3">
      <c r="L739" s="37"/>
    </row>
    <row r="740" spans="12:12" x14ac:dyDescent="0.3">
      <c r="L740" s="37"/>
    </row>
    <row r="741" spans="12:12" x14ac:dyDescent="0.3">
      <c r="L741" s="37"/>
    </row>
    <row r="742" spans="12:12" x14ac:dyDescent="0.3">
      <c r="L742" s="37"/>
    </row>
    <row r="743" spans="12:12" x14ac:dyDescent="0.3">
      <c r="L743" s="37"/>
    </row>
    <row r="744" spans="12:12" x14ac:dyDescent="0.3">
      <c r="L744" s="37"/>
    </row>
    <row r="745" spans="12:12" x14ac:dyDescent="0.3">
      <c r="L745" s="37"/>
    </row>
    <row r="746" spans="12:12" x14ac:dyDescent="0.3">
      <c r="L746" s="37"/>
    </row>
    <row r="747" spans="12:12" x14ac:dyDescent="0.3">
      <c r="L747" s="37"/>
    </row>
    <row r="748" spans="12:12" x14ac:dyDescent="0.3">
      <c r="L748" s="37"/>
    </row>
    <row r="749" spans="12:12" x14ac:dyDescent="0.3">
      <c r="L749" s="37"/>
    </row>
    <row r="750" spans="12:12" x14ac:dyDescent="0.3">
      <c r="L750" s="37"/>
    </row>
    <row r="751" spans="12:12" x14ac:dyDescent="0.3">
      <c r="L751" s="37"/>
    </row>
    <row r="752" spans="12:12" x14ac:dyDescent="0.3">
      <c r="L752" s="37"/>
    </row>
    <row r="753" spans="12:12" x14ac:dyDescent="0.3">
      <c r="L753" s="37"/>
    </row>
    <row r="754" spans="12:12" x14ac:dyDescent="0.3">
      <c r="L754" s="37"/>
    </row>
    <row r="755" spans="12:12" x14ac:dyDescent="0.3">
      <c r="L755" s="37"/>
    </row>
    <row r="756" spans="12:12" x14ac:dyDescent="0.3">
      <c r="L756" s="37"/>
    </row>
    <row r="757" spans="12:12" x14ac:dyDescent="0.3">
      <c r="L757" s="37"/>
    </row>
    <row r="758" spans="12:12" x14ac:dyDescent="0.3">
      <c r="L758" s="37"/>
    </row>
    <row r="759" spans="12:12" x14ac:dyDescent="0.3">
      <c r="L759" s="37"/>
    </row>
    <row r="760" spans="12:12" x14ac:dyDescent="0.3">
      <c r="L760" s="37"/>
    </row>
    <row r="761" spans="12:12" x14ac:dyDescent="0.3">
      <c r="L761" s="37"/>
    </row>
    <row r="762" spans="12:12" x14ac:dyDescent="0.3">
      <c r="L762" s="37"/>
    </row>
    <row r="763" spans="12:12" x14ac:dyDescent="0.3">
      <c r="L763" s="37"/>
    </row>
    <row r="764" spans="12:12" x14ac:dyDescent="0.3">
      <c r="L764" s="37"/>
    </row>
    <row r="765" spans="12:12" x14ac:dyDescent="0.3">
      <c r="L765" s="37"/>
    </row>
    <row r="766" spans="12:12" x14ac:dyDescent="0.3">
      <c r="L766" s="37"/>
    </row>
    <row r="767" spans="12:12" x14ac:dyDescent="0.3">
      <c r="L767" s="37"/>
    </row>
    <row r="768" spans="12:12" x14ac:dyDescent="0.3">
      <c r="L768" s="37"/>
    </row>
    <row r="769" spans="12:12" x14ac:dyDescent="0.3">
      <c r="L769" s="37"/>
    </row>
    <row r="770" spans="12:12" x14ac:dyDescent="0.3">
      <c r="L770" s="37"/>
    </row>
    <row r="771" spans="12:12" x14ac:dyDescent="0.3">
      <c r="L771" s="37"/>
    </row>
    <row r="772" spans="12:12" x14ac:dyDescent="0.3">
      <c r="L772" s="37"/>
    </row>
    <row r="773" spans="12:12" x14ac:dyDescent="0.3">
      <c r="L773" s="37"/>
    </row>
    <row r="774" spans="12:12" x14ac:dyDescent="0.3">
      <c r="L774" s="37"/>
    </row>
    <row r="775" spans="12:12" x14ac:dyDescent="0.3">
      <c r="L775" s="37"/>
    </row>
    <row r="776" spans="12:12" x14ac:dyDescent="0.3">
      <c r="L776" s="37"/>
    </row>
    <row r="777" spans="12:12" x14ac:dyDescent="0.3">
      <c r="L777" s="37"/>
    </row>
    <row r="778" spans="12:12" x14ac:dyDescent="0.3">
      <c r="L778" s="37"/>
    </row>
    <row r="779" spans="12:12" x14ac:dyDescent="0.3">
      <c r="L779" s="37"/>
    </row>
    <row r="780" spans="12:12" x14ac:dyDescent="0.3">
      <c r="L780" s="37"/>
    </row>
    <row r="781" spans="12:12" x14ac:dyDescent="0.3">
      <c r="L781" s="37"/>
    </row>
    <row r="782" spans="12:12" x14ac:dyDescent="0.3">
      <c r="L782" s="37"/>
    </row>
    <row r="783" spans="12:12" x14ac:dyDescent="0.3">
      <c r="L783" s="37"/>
    </row>
    <row r="784" spans="12:12" x14ac:dyDescent="0.3">
      <c r="L784" s="37"/>
    </row>
    <row r="785" spans="12:12" x14ac:dyDescent="0.3">
      <c r="L785" s="37"/>
    </row>
    <row r="786" spans="12:12" x14ac:dyDescent="0.3">
      <c r="L786" s="37"/>
    </row>
    <row r="787" spans="12:12" x14ac:dyDescent="0.3">
      <c r="L787" s="37"/>
    </row>
    <row r="788" spans="12:12" x14ac:dyDescent="0.3">
      <c r="L788" s="37"/>
    </row>
    <row r="789" spans="12:12" x14ac:dyDescent="0.3">
      <c r="L789" s="37"/>
    </row>
    <row r="790" spans="12:12" x14ac:dyDescent="0.3">
      <c r="L790" s="37"/>
    </row>
    <row r="791" spans="12:12" x14ac:dyDescent="0.3">
      <c r="L791" s="37"/>
    </row>
    <row r="792" spans="12:12" x14ac:dyDescent="0.3">
      <c r="L792" s="37"/>
    </row>
    <row r="793" spans="12:12" x14ac:dyDescent="0.3">
      <c r="L793" s="37"/>
    </row>
    <row r="794" spans="12:12" x14ac:dyDescent="0.3">
      <c r="L794" s="37"/>
    </row>
    <row r="795" spans="12:12" x14ac:dyDescent="0.3">
      <c r="L795" s="37"/>
    </row>
    <row r="796" spans="12:12" x14ac:dyDescent="0.3">
      <c r="L796" s="37"/>
    </row>
    <row r="797" spans="12:12" x14ac:dyDescent="0.3">
      <c r="L797" s="37"/>
    </row>
    <row r="798" spans="12:12" x14ac:dyDescent="0.3">
      <c r="L798" s="37"/>
    </row>
    <row r="799" spans="12:12" x14ac:dyDescent="0.3">
      <c r="L799" s="37"/>
    </row>
    <row r="800" spans="12:12" x14ac:dyDescent="0.3">
      <c r="L800" s="37"/>
    </row>
    <row r="801" spans="12:12" x14ac:dyDescent="0.3">
      <c r="L801" s="37"/>
    </row>
    <row r="802" spans="12:12" x14ac:dyDescent="0.3">
      <c r="L802" s="37"/>
    </row>
    <row r="803" spans="12:12" x14ac:dyDescent="0.3">
      <c r="L803" s="37"/>
    </row>
    <row r="804" spans="12:12" x14ac:dyDescent="0.3">
      <c r="L804" s="37"/>
    </row>
    <row r="805" spans="12:12" x14ac:dyDescent="0.3">
      <c r="L805" s="37"/>
    </row>
    <row r="806" spans="12:12" x14ac:dyDescent="0.3">
      <c r="L806" s="37"/>
    </row>
    <row r="807" spans="12:12" x14ac:dyDescent="0.3">
      <c r="L807" s="37"/>
    </row>
    <row r="808" spans="12:12" x14ac:dyDescent="0.3">
      <c r="L808" s="37"/>
    </row>
    <row r="809" spans="12:12" x14ac:dyDescent="0.3">
      <c r="L809" s="37"/>
    </row>
    <row r="810" spans="12:12" x14ac:dyDescent="0.3">
      <c r="L810" s="37"/>
    </row>
    <row r="811" spans="12:12" x14ac:dyDescent="0.3">
      <c r="L811" s="37"/>
    </row>
    <row r="812" spans="12:12" x14ac:dyDescent="0.3">
      <c r="L812" s="37"/>
    </row>
    <row r="813" spans="12:12" x14ac:dyDescent="0.3">
      <c r="L813" s="37"/>
    </row>
    <row r="814" spans="12:12" x14ac:dyDescent="0.3">
      <c r="L814" s="37"/>
    </row>
    <row r="815" spans="12:12" x14ac:dyDescent="0.3">
      <c r="L815" s="37"/>
    </row>
    <row r="816" spans="12:12" x14ac:dyDescent="0.3">
      <c r="L816" s="37"/>
    </row>
    <row r="817" spans="12:12" x14ac:dyDescent="0.3">
      <c r="L817" s="37"/>
    </row>
    <row r="818" spans="12:12" x14ac:dyDescent="0.3">
      <c r="L818" s="37"/>
    </row>
    <row r="819" spans="12:12" x14ac:dyDescent="0.3">
      <c r="L819" s="37"/>
    </row>
    <row r="820" spans="12:12" x14ac:dyDescent="0.3">
      <c r="L820" s="37"/>
    </row>
    <row r="821" spans="12:12" x14ac:dyDescent="0.3">
      <c r="L821" s="37"/>
    </row>
    <row r="822" spans="12:12" x14ac:dyDescent="0.3">
      <c r="L822" s="37"/>
    </row>
    <row r="823" spans="12:12" x14ac:dyDescent="0.3">
      <c r="L823" s="37"/>
    </row>
    <row r="824" spans="12:12" x14ac:dyDescent="0.3">
      <c r="L824" s="37"/>
    </row>
    <row r="825" spans="12:12" x14ac:dyDescent="0.3">
      <c r="L825" s="37"/>
    </row>
    <row r="826" spans="12:12" x14ac:dyDescent="0.3">
      <c r="L826" s="37"/>
    </row>
    <row r="827" spans="12:12" x14ac:dyDescent="0.3">
      <c r="L827" s="37"/>
    </row>
    <row r="828" spans="12:12" x14ac:dyDescent="0.3">
      <c r="L828" s="37"/>
    </row>
    <row r="829" spans="12:12" x14ac:dyDescent="0.3">
      <c r="L829" s="37"/>
    </row>
    <row r="830" spans="12:12" x14ac:dyDescent="0.3">
      <c r="L830" s="37"/>
    </row>
    <row r="831" spans="12:12" x14ac:dyDescent="0.3">
      <c r="L831" s="37"/>
    </row>
    <row r="832" spans="12:12" x14ac:dyDescent="0.3">
      <c r="L832" s="37"/>
    </row>
    <row r="833" spans="12:12" x14ac:dyDescent="0.3">
      <c r="L833" s="37"/>
    </row>
    <row r="834" spans="12:12" x14ac:dyDescent="0.3">
      <c r="L834" s="37"/>
    </row>
    <row r="835" spans="12:12" x14ac:dyDescent="0.3">
      <c r="L835" s="37"/>
    </row>
    <row r="836" spans="12:12" x14ac:dyDescent="0.3">
      <c r="L836" s="37"/>
    </row>
    <row r="837" spans="12:12" x14ac:dyDescent="0.3">
      <c r="L837" s="37"/>
    </row>
    <row r="838" spans="12:12" x14ac:dyDescent="0.3">
      <c r="L838" s="37"/>
    </row>
    <row r="839" spans="12:12" x14ac:dyDescent="0.3">
      <c r="L839" s="37"/>
    </row>
    <row r="840" spans="12:12" x14ac:dyDescent="0.3">
      <c r="L840" s="37"/>
    </row>
    <row r="841" spans="12:12" x14ac:dyDescent="0.3">
      <c r="L841" s="37"/>
    </row>
    <row r="842" spans="12:12" x14ac:dyDescent="0.3">
      <c r="L842" s="37"/>
    </row>
    <row r="843" spans="12:12" x14ac:dyDescent="0.3">
      <c r="L843" s="37"/>
    </row>
    <row r="844" spans="12:12" x14ac:dyDescent="0.3">
      <c r="L844" s="37"/>
    </row>
    <row r="845" spans="12:12" x14ac:dyDescent="0.3">
      <c r="L845" s="37"/>
    </row>
    <row r="846" spans="12:12" x14ac:dyDescent="0.3">
      <c r="L846" s="37"/>
    </row>
    <row r="847" spans="12:12" x14ac:dyDescent="0.3">
      <c r="L847" s="37"/>
    </row>
    <row r="848" spans="12:12" x14ac:dyDescent="0.3">
      <c r="L848" s="37"/>
    </row>
    <row r="849" spans="12:12" x14ac:dyDescent="0.3">
      <c r="L849" s="37"/>
    </row>
    <row r="850" spans="12:12" x14ac:dyDescent="0.3">
      <c r="L850" s="37"/>
    </row>
    <row r="851" spans="12:12" x14ac:dyDescent="0.3">
      <c r="L851" s="37"/>
    </row>
    <row r="852" spans="12:12" x14ac:dyDescent="0.3">
      <c r="L852" s="37"/>
    </row>
    <row r="853" spans="12:12" x14ac:dyDescent="0.3">
      <c r="L853" s="37"/>
    </row>
    <row r="854" spans="12:12" x14ac:dyDescent="0.3">
      <c r="L854" s="37"/>
    </row>
    <row r="855" spans="12:12" x14ac:dyDescent="0.3">
      <c r="L855" s="37"/>
    </row>
    <row r="856" spans="12:12" x14ac:dyDescent="0.3">
      <c r="L856" s="37"/>
    </row>
    <row r="857" spans="12:12" x14ac:dyDescent="0.3">
      <c r="L857" s="37"/>
    </row>
    <row r="858" spans="12:12" x14ac:dyDescent="0.3">
      <c r="L858" s="37"/>
    </row>
    <row r="859" spans="12:12" x14ac:dyDescent="0.3">
      <c r="L859" s="37"/>
    </row>
    <row r="860" spans="12:12" x14ac:dyDescent="0.3">
      <c r="L860" s="37"/>
    </row>
    <row r="861" spans="12:12" x14ac:dyDescent="0.3">
      <c r="L861" s="37"/>
    </row>
    <row r="862" spans="12:12" x14ac:dyDescent="0.3">
      <c r="L862" s="37"/>
    </row>
    <row r="863" spans="12:12" x14ac:dyDescent="0.3">
      <c r="L863" s="37"/>
    </row>
    <row r="864" spans="12:12" x14ac:dyDescent="0.3">
      <c r="L864" s="37"/>
    </row>
    <row r="865" spans="12:12" x14ac:dyDescent="0.3">
      <c r="L865" s="37"/>
    </row>
    <row r="866" spans="12:12" x14ac:dyDescent="0.3">
      <c r="L866" s="37"/>
    </row>
    <row r="867" spans="12:12" x14ac:dyDescent="0.3">
      <c r="L867" s="37"/>
    </row>
    <row r="868" spans="12:12" x14ac:dyDescent="0.3">
      <c r="L868" s="37"/>
    </row>
    <row r="869" spans="12:12" x14ac:dyDescent="0.3">
      <c r="L869" s="37"/>
    </row>
    <row r="870" spans="12:12" x14ac:dyDescent="0.3">
      <c r="L870" s="37"/>
    </row>
    <row r="871" spans="12:12" x14ac:dyDescent="0.3">
      <c r="L871" s="37"/>
    </row>
    <row r="872" spans="12:12" x14ac:dyDescent="0.3">
      <c r="L872" s="37"/>
    </row>
    <row r="873" spans="12:12" x14ac:dyDescent="0.3">
      <c r="L873" s="37"/>
    </row>
    <row r="874" spans="12:12" x14ac:dyDescent="0.3">
      <c r="L874" s="37"/>
    </row>
    <row r="875" spans="12:12" x14ac:dyDescent="0.3">
      <c r="L875" s="37"/>
    </row>
    <row r="876" spans="12:12" x14ac:dyDescent="0.3">
      <c r="L876" s="37"/>
    </row>
    <row r="877" spans="12:12" x14ac:dyDescent="0.3">
      <c r="L877" s="37"/>
    </row>
    <row r="878" spans="12:12" x14ac:dyDescent="0.3">
      <c r="L878" s="37"/>
    </row>
    <row r="879" spans="12:12" x14ac:dyDescent="0.3">
      <c r="L879" s="37"/>
    </row>
    <row r="880" spans="12:12" x14ac:dyDescent="0.3">
      <c r="L880" s="37"/>
    </row>
    <row r="881" spans="12:12" x14ac:dyDescent="0.3">
      <c r="L881" s="37"/>
    </row>
    <row r="882" spans="12:12" x14ac:dyDescent="0.3">
      <c r="L882" s="37"/>
    </row>
    <row r="883" spans="12:12" x14ac:dyDescent="0.3">
      <c r="L883" s="37"/>
    </row>
    <row r="884" spans="12:12" x14ac:dyDescent="0.3">
      <c r="L884" s="37"/>
    </row>
    <row r="885" spans="12:12" x14ac:dyDescent="0.3">
      <c r="L885" s="37"/>
    </row>
    <row r="886" spans="12:12" x14ac:dyDescent="0.3">
      <c r="L886" s="37"/>
    </row>
    <row r="887" spans="12:12" x14ac:dyDescent="0.3">
      <c r="L887" s="37"/>
    </row>
    <row r="888" spans="12:12" x14ac:dyDescent="0.3">
      <c r="L888" s="37"/>
    </row>
    <row r="889" spans="12:12" x14ac:dyDescent="0.3">
      <c r="L889" s="37"/>
    </row>
    <row r="890" spans="12:12" x14ac:dyDescent="0.3">
      <c r="L890" s="37"/>
    </row>
    <row r="891" spans="12:12" x14ac:dyDescent="0.3">
      <c r="L891" s="37"/>
    </row>
    <row r="892" spans="12:12" x14ac:dyDescent="0.3">
      <c r="L892" s="37"/>
    </row>
    <row r="893" spans="12:12" x14ac:dyDescent="0.3">
      <c r="L893" s="37"/>
    </row>
    <row r="894" spans="12:12" x14ac:dyDescent="0.3">
      <c r="L894" s="37"/>
    </row>
    <row r="895" spans="12:12" x14ac:dyDescent="0.3">
      <c r="L895" s="37"/>
    </row>
    <row r="896" spans="12:12" x14ac:dyDescent="0.3">
      <c r="L896" s="37"/>
    </row>
    <row r="897" spans="12:12" x14ac:dyDescent="0.3">
      <c r="L897" s="37"/>
    </row>
    <row r="898" spans="12:12" x14ac:dyDescent="0.3">
      <c r="L898" s="37"/>
    </row>
    <row r="899" spans="12:12" x14ac:dyDescent="0.3">
      <c r="L899" s="37"/>
    </row>
    <row r="900" spans="12:12" x14ac:dyDescent="0.3">
      <c r="L900" s="37"/>
    </row>
    <row r="901" spans="12:12" x14ac:dyDescent="0.3">
      <c r="L901" s="37"/>
    </row>
    <row r="902" spans="12:12" x14ac:dyDescent="0.3">
      <c r="L902" s="37"/>
    </row>
    <row r="903" spans="12:12" x14ac:dyDescent="0.3">
      <c r="L903" s="37"/>
    </row>
    <row r="904" spans="12:12" x14ac:dyDescent="0.3">
      <c r="L904" s="37"/>
    </row>
    <row r="905" spans="12:12" x14ac:dyDescent="0.3">
      <c r="L905" s="37"/>
    </row>
    <row r="906" spans="12:12" x14ac:dyDescent="0.3">
      <c r="L906" s="37"/>
    </row>
    <row r="907" spans="12:12" x14ac:dyDescent="0.3">
      <c r="L907" s="37"/>
    </row>
    <row r="908" spans="12:12" x14ac:dyDescent="0.3">
      <c r="L908" s="37"/>
    </row>
    <row r="909" spans="12:12" x14ac:dyDescent="0.3">
      <c r="L909" s="37"/>
    </row>
    <row r="910" spans="12:12" x14ac:dyDescent="0.3">
      <c r="L910" s="37"/>
    </row>
    <row r="911" spans="12:12" x14ac:dyDescent="0.3">
      <c r="L911" s="37"/>
    </row>
    <row r="912" spans="12:12" x14ac:dyDescent="0.3">
      <c r="L912" s="37"/>
    </row>
    <row r="913" spans="12:12" x14ac:dyDescent="0.3">
      <c r="L913" s="37"/>
    </row>
    <row r="914" spans="12:12" x14ac:dyDescent="0.3">
      <c r="L914" s="37"/>
    </row>
    <row r="915" spans="12:12" x14ac:dyDescent="0.3">
      <c r="L915" s="37"/>
    </row>
    <row r="916" spans="12:12" x14ac:dyDescent="0.3">
      <c r="L916" s="37"/>
    </row>
    <row r="917" spans="12:12" x14ac:dyDescent="0.3">
      <c r="L917" s="37"/>
    </row>
    <row r="918" spans="12:12" x14ac:dyDescent="0.3">
      <c r="L918" s="37"/>
    </row>
    <row r="919" spans="12:12" x14ac:dyDescent="0.3">
      <c r="L919" s="37"/>
    </row>
    <row r="920" spans="12:12" x14ac:dyDescent="0.3">
      <c r="L920" s="37"/>
    </row>
    <row r="921" spans="12:12" x14ac:dyDescent="0.3">
      <c r="L921" s="37"/>
    </row>
    <row r="922" spans="12:12" x14ac:dyDescent="0.3">
      <c r="L922" s="37"/>
    </row>
    <row r="923" spans="12:12" x14ac:dyDescent="0.3">
      <c r="L923" s="37"/>
    </row>
    <row r="924" spans="12:12" x14ac:dyDescent="0.3">
      <c r="L924" s="37"/>
    </row>
    <row r="925" spans="12:12" x14ac:dyDescent="0.3">
      <c r="L925" s="37"/>
    </row>
    <row r="926" spans="12:12" x14ac:dyDescent="0.3">
      <c r="L926" s="37"/>
    </row>
    <row r="927" spans="12:12" x14ac:dyDescent="0.3">
      <c r="L927" s="37"/>
    </row>
    <row r="928" spans="12:12" x14ac:dyDescent="0.3">
      <c r="L928" s="37"/>
    </row>
    <row r="929" spans="12:12" x14ac:dyDescent="0.3">
      <c r="L929" s="37"/>
    </row>
    <row r="930" spans="12:12" x14ac:dyDescent="0.3">
      <c r="L930" s="37"/>
    </row>
    <row r="931" spans="12:12" x14ac:dyDescent="0.3">
      <c r="L931" s="37"/>
    </row>
    <row r="932" spans="12:12" x14ac:dyDescent="0.3">
      <c r="L932" s="37"/>
    </row>
    <row r="933" spans="12:12" x14ac:dyDescent="0.3">
      <c r="L933" s="37"/>
    </row>
    <row r="934" spans="12:12" x14ac:dyDescent="0.3">
      <c r="L934" s="37"/>
    </row>
    <row r="935" spans="12:12" x14ac:dyDescent="0.3">
      <c r="L935" s="37"/>
    </row>
    <row r="936" spans="12:12" x14ac:dyDescent="0.3">
      <c r="L936" s="37"/>
    </row>
    <row r="937" spans="12:12" x14ac:dyDescent="0.3">
      <c r="L937" s="37"/>
    </row>
    <row r="938" spans="12:12" x14ac:dyDescent="0.3">
      <c r="L938" s="37"/>
    </row>
    <row r="939" spans="12:12" x14ac:dyDescent="0.3">
      <c r="L939" s="37"/>
    </row>
    <row r="940" spans="12:12" x14ac:dyDescent="0.3">
      <c r="L940" s="37"/>
    </row>
    <row r="941" spans="12:12" x14ac:dyDescent="0.3">
      <c r="L941" s="37"/>
    </row>
    <row r="942" spans="12:12" x14ac:dyDescent="0.3">
      <c r="L942" s="37"/>
    </row>
    <row r="943" spans="12:12" x14ac:dyDescent="0.3">
      <c r="L943" s="37"/>
    </row>
    <row r="944" spans="12:12" x14ac:dyDescent="0.3">
      <c r="L944" s="37"/>
    </row>
    <row r="945" spans="12:12" x14ac:dyDescent="0.3">
      <c r="L945" s="37"/>
    </row>
    <row r="946" spans="12:12" x14ac:dyDescent="0.3">
      <c r="L946" s="37"/>
    </row>
    <row r="947" spans="12:12" x14ac:dyDescent="0.3">
      <c r="L947" s="37"/>
    </row>
    <row r="948" spans="12:12" x14ac:dyDescent="0.3">
      <c r="L948" s="37"/>
    </row>
    <row r="949" spans="12:12" x14ac:dyDescent="0.3">
      <c r="L949" s="37"/>
    </row>
    <row r="950" spans="12:12" x14ac:dyDescent="0.3">
      <c r="L950" s="37"/>
    </row>
    <row r="951" spans="12:12" x14ac:dyDescent="0.3">
      <c r="L951" s="37"/>
    </row>
    <row r="952" spans="12:12" x14ac:dyDescent="0.3">
      <c r="L952" s="37"/>
    </row>
    <row r="953" spans="12:12" x14ac:dyDescent="0.3">
      <c r="L953" s="37"/>
    </row>
    <row r="954" spans="12:12" x14ac:dyDescent="0.3">
      <c r="L954" s="37"/>
    </row>
    <row r="955" spans="12:12" x14ac:dyDescent="0.3">
      <c r="L955" s="37"/>
    </row>
    <row r="956" spans="12:12" x14ac:dyDescent="0.3">
      <c r="L956" s="37"/>
    </row>
    <row r="957" spans="12:12" x14ac:dyDescent="0.3">
      <c r="L957" s="37"/>
    </row>
    <row r="958" spans="12:12" x14ac:dyDescent="0.3">
      <c r="L958" s="37"/>
    </row>
    <row r="959" spans="12:12" x14ac:dyDescent="0.3">
      <c r="L959" s="37"/>
    </row>
    <row r="960" spans="12:12" x14ac:dyDescent="0.3">
      <c r="L960" s="37"/>
    </row>
    <row r="961" spans="12:12" x14ac:dyDescent="0.3">
      <c r="L961" s="37"/>
    </row>
    <row r="962" spans="12:12" x14ac:dyDescent="0.3">
      <c r="L962" s="37"/>
    </row>
    <row r="963" spans="12:12" x14ac:dyDescent="0.3">
      <c r="L963" s="37"/>
    </row>
    <row r="964" spans="12:12" x14ac:dyDescent="0.3">
      <c r="L964" s="37"/>
    </row>
    <row r="965" spans="12:12" x14ac:dyDescent="0.3">
      <c r="L965" s="37"/>
    </row>
    <row r="966" spans="12:12" x14ac:dyDescent="0.3">
      <c r="L966" s="37"/>
    </row>
    <row r="967" spans="12:12" x14ac:dyDescent="0.3">
      <c r="L967" s="37"/>
    </row>
    <row r="968" spans="12:12" x14ac:dyDescent="0.3">
      <c r="L968" s="37"/>
    </row>
    <row r="969" spans="12:12" x14ac:dyDescent="0.3">
      <c r="L969" s="37"/>
    </row>
    <row r="970" spans="12:12" x14ac:dyDescent="0.3">
      <c r="L970" s="37"/>
    </row>
    <row r="971" spans="12:12" x14ac:dyDescent="0.3">
      <c r="L971" s="37"/>
    </row>
    <row r="972" spans="12:12" x14ac:dyDescent="0.3">
      <c r="L972" s="37"/>
    </row>
    <row r="973" spans="12:12" x14ac:dyDescent="0.3">
      <c r="L973" s="37"/>
    </row>
    <row r="974" spans="12:12" x14ac:dyDescent="0.3">
      <c r="L974" s="37"/>
    </row>
    <row r="975" spans="12:12" x14ac:dyDescent="0.3">
      <c r="L975" s="37"/>
    </row>
    <row r="976" spans="12:12" x14ac:dyDescent="0.3">
      <c r="L976" s="37"/>
    </row>
    <row r="977" spans="12:12" x14ac:dyDescent="0.3">
      <c r="L977" s="37"/>
    </row>
    <row r="978" spans="12:12" x14ac:dyDescent="0.3">
      <c r="L978" s="37"/>
    </row>
    <row r="979" spans="12:12" x14ac:dyDescent="0.3">
      <c r="L979" s="37"/>
    </row>
    <row r="980" spans="12:12" x14ac:dyDescent="0.3">
      <c r="L980" s="37"/>
    </row>
    <row r="981" spans="12:12" x14ac:dyDescent="0.3">
      <c r="L981" s="37"/>
    </row>
    <row r="982" spans="12:12" x14ac:dyDescent="0.3">
      <c r="L982" s="37"/>
    </row>
    <row r="983" spans="12:12" x14ac:dyDescent="0.3">
      <c r="L983" s="37"/>
    </row>
    <row r="984" spans="12:12" x14ac:dyDescent="0.3">
      <c r="L984" s="37"/>
    </row>
    <row r="985" spans="12:12" x14ac:dyDescent="0.3">
      <c r="L985" s="37"/>
    </row>
    <row r="986" spans="12:12" x14ac:dyDescent="0.3">
      <c r="L986" s="37"/>
    </row>
    <row r="987" spans="12:12" x14ac:dyDescent="0.3">
      <c r="L987" s="37"/>
    </row>
    <row r="988" spans="12:12" x14ac:dyDescent="0.3">
      <c r="L988" s="37"/>
    </row>
    <row r="989" spans="12:12" x14ac:dyDescent="0.3">
      <c r="L989" s="37"/>
    </row>
    <row r="990" spans="12:12" x14ac:dyDescent="0.3">
      <c r="L990" s="37"/>
    </row>
    <row r="991" spans="12:12" x14ac:dyDescent="0.3">
      <c r="L991" s="37"/>
    </row>
    <row r="992" spans="12:12" x14ac:dyDescent="0.3">
      <c r="L992" s="37"/>
    </row>
    <row r="993" spans="12:12" x14ac:dyDescent="0.3">
      <c r="L993" s="37"/>
    </row>
    <row r="994" spans="12:12" x14ac:dyDescent="0.3">
      <c r="L994" s="37"/>
    </row>
    <row r="995" spans="12:12" x14ac:dyDescent="0.3">
      <c r="L995" s="37"/>
    </row>
    <row r="996" spans="12:12" x14ac:dyDescent="0.3">
      <c r="L996" s="37"/>
    </row>
    <row r="997" spans="12:12" x14ac:dyDescent="0.3">
      <c r="L997" s="37"/>
    </row>
    <row r="998" spans="12:12" x14ac:dyDescent="0.3">
      <c r="L998" s="37"/>
    </row>
    <row r="999" spans="12:12" x14ac:dyDescent="0.3">
      <c r="L999" s="37"/>
    </row>
    <row r="1000" spans="12:12" x14ac:dyDescent="0.3">
      <c r="L1000" s="37"/>
    </row>
  </sheetData>
  <conditionalFormatting sqref="N1:N1000">
    <cfRule type="cellIs" dxfId="5" priority="1" operator="equal">
      <formula>"ENTER"</formula>
    </cfRule>
    <cfRule type="cellIs" dxfId="4" priority="2" operator="equal">
      <formula>"DONT ENTER"</formula>
    </cfRule>
  </conditionalFormatting>
  <conditionalFormatting sqref="Z1:Z1000">
    <cfRule type="cellIs" dxfId="3" priority="3" operator="equal">
      <formula>"DONT ENTER"</formula>
    </cfRule>
    <cfRule type="cellIs" dxfId="2" priority="4" operator="equal">
      <formula>"ENTER"</formula>
    </cfRule>
  </conditionalFormatting>
  <conditionalFormatting sqref="AL1:AL1000">
    <cfRule type="cellIs" dxfId="1" priority="5" operator="equal">
      <formula>"ENTER"</formula>
    </cfRule>
    <cfRule type="cellIs" dxfId="0" priority="6" operator="equal">
      <formula>"DONT ENTER"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3"/>
  <sheetViews>
    <sheetView workbookViewId="0"/>
  </sheetViews>
  <sheetFormatPr defaultColWidth="14.44140625" defaultRowHeight="15" customHeight="1" x14ac:dyDescent="0.3"/>
  <cols>
    <col min="7" max="7" width="18.6640625" customWidth="1"/>
    <col min="8" max="8" width="24" customWidth="1"/>
    <col min="9" max="9" width="19.109375" customWidth="1"/>
    <col min="12" max="12" width="18.6640625" customWidth="1"/>
    <col min="13" max="13" width="16.88671875" customWidth="1"/>
  </cols>
  <sheetData>
    <row r="1" spans="1:13" x14ac:dyDescent="0.3">
      <c r="A1" s="23" t="s">
        <v>57</v>
      </c>
      <c r="B1" s="23" t="s">
        <v>40</v>
      </c>
      <c r="C1" s="23" t="s">
        <v>58</v>
      </c>
      <c r="D1" s="23" t="s">
        <v>59</v>
      </c>
      <c r="E1" s="23" t="s">
        <v>28</v>
      </c>
      <c r="F1" s="23" t="s">
        <v>60</v>
      </c>
      <c r="G1" s="23" t="s">
        <v>61</v>
      </c>
      <c r="H1" s="23" t="s">
        <v>62</v>
      </c>
      <c r="I1" s="23" t="s">
        <v>63</v>
      </c>
      <c r="J1" s="23" t="s">
        <v>64</v>
      </c>
      <c r="K1" s="23" t="s">
        <v>65</v>
      </c>
      <c r="L1" s="23" t="s">
        <v>66</v>
      </c>
    </row>
    <row r="2" spans="1:13" x14ac:dyDescent="0.3">
      <c r="A2" s="3">
        <v>1</v>
      </c>
      <c r="B2" s="3" t="str">
        <f>Assumptions!$A$24</f>
        <v>RELIANCE</v>
      </c>
      <c r="C2" s="25">
        <f>'Data Analysis'!A18</f>
        <v>45855</v>
      </c>
      <c r="D2" s="25">
        <f>'Data Analysis'!E18</f>
        <v>45869</v>
      </c>
      <c r="E2" s="3" t="str">
        <f t="shared" ref="E2:E13" si="0">TEXT(D2,"mmm")</f>
        <v>Jul</v>
      </c>
      <c r="F2" s="3">
        <v>37</v>
      </c>
      <c r="G2" s="3">
        <f>IFERROR(VLOOKUP(C2, 'Data Analysis'!$A:$C, 3, FALSE), 0)</f>
        <v>1476.4</v>
      </c>
      <c r="H2" s="3">
        <f>IFERROR(
  IF(E2="JUL", VLOOKUP(C2, 'Data Analysis'!$A:$E, 4, FALSE),
  IF(E2="AUG", VLOOKUP(C2, 'Data Analysis'!$A:$Q, 16, FALSE),
  IF(E2="SEP", VLOOKUP(C2, 'Data Analysis'!$A:$AC, 28, FALSE), 0))),
0)</f>
        <v>1482.6</v>
      </c>
      <c r="I2" s="3">
        <f>F2*Assumptions!$B$24*G2*(1+Assumptions!$B$16)</f>
        <v>27327056.699999999</v>
      </c>
      <c r="J2" s="3">
        <f>F2*Assumptions!$B$24*H2*Assumptions!$B$18</f>
        <v>5485620</v>
      </c>
      <c r="K2" s="3">
        <f>IFERROR(VLOOKUP(D2, 'Data Analysis'!$A:$C, 3, FALSE), 0)</f>
        <v>1390.2</v>
      </c>
      <c r="L2" s="3">
        <f>(F2*Assumptions!$B$24*K2*(1-Assumptions!$B$16)) + (F2*Assumptions!$B$24*(H2-K2)*(1-Assumptions!$B$17)) + J2</f>
        <v>32900518.77</v>
      </c>
      <c r="M2" s="41"/>
    </row>
    <row r="3" spans="1:13" x14ac:dyDescent="0.3">
      <c r="A3" s="3">
        <f t="shared" ref="A3:A13" si="1">A2+1</f>
        <v>2</v>
      </c>
      <c r="B3" s="3" t="str">
        <f>Assumptions!$A$24</f>
        <v>RELIANCE</v>
      </c>
      <c r="C3" s="25">
        <f>'Data Analysis'!A19</f>
        <v>45856</v>
      </c>
      <c r="D3" s="25">
        <f>'Data Analysis'!E19</f>
        <v>45869</v>
      </c>
      <c r="E3" s="3" t="str">
        <f t="shared" si="0"/>
        <v>Jul</v>
      </c>
      <c r="F3" s="3">
        <v>34</v>
      </c>
      <c r="G3" s="3">
        <f>IFERROR(VLOOKUP(C3, 'Data Analysis'!$A:$C, 3, FALSE), 0)</f>
        <v>1476</v>
      </c>
      <c r="H3" s="3">
        <f>IFERROR(
  IF(E3="JUL", VLOOKUP(C3, 'Data Analysis'!$A:$E, 4, FALSE),
  IF(E3="AUG", VLOOKUP(C3, 'Data Analysis'!$A:$Q, 16, FALSE),
  IF(E3="SEP", VLOOKUP(C3, 'Data Analysis'!$A:$AC, 28, FALSE), 0))),
0)</f>
        <v>1482.6</v>
      </c>
      <c r="I3" s="3">
        <f>F3*Assumptions!$B$24*G3*(1+Assumptions!$B$16)</f>
        <v>25104546</v>
      </c>
      <c r="J3" s="3">
        <f>F3*Assumptions!$B$24*H3*Assumptions!$B$18</f>
        <v>5040840</v>
      </c>
      <c r="K3" s="3">
        <f>IFERROR(VLOOKUP(D3, 'Data Analysis'!$A:$C, 3, FALSE), 0)</f>
        <v>1390.2</v>
      </c>
      <c r="L3" s="3">
        <f>(F3*Assumptions!$B$24*K3*(1-Assumptions!$B$16)) + (F3*Assumptions!$B$24*(H3-K3)*(1-Assumptions!$B$17)) + J3</f>
        <v>30232909.139999997</v>
      </c>
    </row>
    <row r="4" spans="1:13" x14ac:dyDescent="0.3">
      <c r="A4" s="3">
        <f t="shared" si="1"/>
        <v>3</v>
      </c>
      <c r="B4" s="3" t="str">
        <f>Assumptions!$A$24</f>
        <v>RELIANCE</v>
      </c>
      <c r="C4" s="25">
        <f>'Data Analysis'!A23</f>
        <v>45860</v>
      </c>
      <c r="D4" s="25">
        <f>'Data Analysis'!E23</f>
        <v>45869</v>
      </c>
      <c r="E4" s="3" t="str">
        <f t="shared" si="0"/>
        <v>Jul</v>
      </c>
      <c r="F4" s="3">
        <v>19</v>
      </c>
      <c r="G4" s="3">
        <f>IFERROR(VLOOKUP(C4, 'Data Analysis'!$A:$C, 3, FALSE), 0)</f>
        <v>1412.8</v>
      </c>
      <c r="H4" s="3">
        <f>IFERROR(
  IF(E4="JUL", VLOOKUP(C4, 'Data Analysis'!$A:$E, 4, FALSE),
  IF(E4="AUG", VLOOKUP(C4, 'Data Analysis'!$A:$Q, 16, FALSE),
  IF(E4="SEP", VLOOKUP(C4, 'Data Analysis'!$A:$AC, 28, FALSE), 0))),
0)</f>
        <v>1417.3</v>
      </c>
      <c r="I4" s="3">
        <f>F4*Assumptions!$B$24*G4*(1+Assumptions!$B$16)</f>
        <v>13428310.799999999</v>
      </c>
      <c r="J4" s="3">
        <f>F4*Assumptions!$B$24*H4*Assumptions!$B$18</f>
        <v>2692870</v>
      </c>
      <c r="K4" s="3">
        <f>IFERROR(VLOOKUP(D4, 'Data Analysis'!$A:$C, 3, FALSE), 0)</f>
        <v>1390.2</v>
      </c>
      <c r="L4" s="3">
        <f>(F4*Assumptions!$B$24*K4*(1-Assumptions!$B$16)) + (F4*Assumptions!$B$24*(H4-K4)*(1-Assumptions!$B$17)) + J4</f>
        <v>16150565.060000001</v>
      </c>
    </row>
    <row r="5" spans="1:13" x14ac:dyDescent="0.3">
      <c r="A5" s="3">
        <f t="shared" si="1"/>
        <v>4</v>
      </c>
      <c r="B5" s="3" t="str">
        <f>Assumptions!$A$24</f>
        <v>RELIANCE</v>
      </c>
      <c r="C5" s="25">
        <f>'Data Analysis'!A25</f>
        <v>45862</v>
      </c>
      <c r="D5" s="25">
        <f>'Data Analysis'!E25</f>
        <v>45869</v>
      </c>
      <c r="E5" s="3" t="str">
        <f t="shared" si="0"/>
        <v>Jul</v>
      </c>
      <c r="F5" s="3">
        <v>6</v>
      </c>
      <c r="G5" s="3">
        <f>IFERROR(VLOOKUP(C5, 'Data Analysis'!$A:$C, 3, FALSE), 0)</f>
        <v>1402.9</v>
      </c>
      <c r="H5" s="3">
        <f>IFERROR(
  IF(E5="JUL", VLOOKUP(C5, 'Data Analysis'!$A:$E, 4, FALSE),
  IF(E5="AUG", VLOOKUP(C5, 'Data Analysis'!$A:$Q, 16, FALSE),
  IF(E5="SEP", VLOOKUP(C5, 'Data Analysis'!$A:$AC, 28, FALSE), 0))),
0)</f>
        <v>1406.6</v>
      </c>
      <c r="I5" s="3">
        <f>F5*Assumptions!$B$24*G5*(1+Assumptions!$B$16)</f>
        <v>4210804.3499999996</v>
      </c>
      <c r="J5" s="3">
        <f>F5*Assumptions!$B$24*H5*Assumptions!$B$18</f>
        <v>843960</v>
      </c>
      <c r="K5" s="3">
        <f>IFERROR(VLOOKUP(D5, 'Data Analysis'!$A:$C, 3, FALSE), 0)</f>
        <v>1390.2</v>
      </c>
      <c r="L5" s="3">
        <f>(F5*Assumptions!$B$24*K5*(1-Assumptions!$B$16)) + (F5*Assumptions!$B$24*(H5-K5)*(1-Assumptions!$B$17)) + J5</f>
        <v>5061664.8599999994</v>
      </c>
    </row>
    <row r="6" spans="1:13" x14ac:dyDescent="0.3">
      <c r="A6" s="3">
        <f t="shared" si="1"/>
        <v>5</v>
      </c>
      <c r="B6" s="3" t="str">
        <f>Assumptions!$A$24</f>
        <v>RELIANCE</v>
      </c>
      <c r="C6" s="25">
        <f>'Data Analysis'!A50</f>
        <v>45887</v>
      </c>
      <c r="D6" s="25">
        <f>'Data Analysis'!Q51</f>
        <v>45897</v>
      </c>
      <c r="E6" s="3" t="str">
        <f t="shared" si="0"/>
        <v>Aug</v>
      </c>
      <c r="F6" s="3">
        <v>39</v>
      </c>
      <c r="G6" s="3">
        <f>IFERROR(VLOOKUP(C6, 'Data Analysis'!$A:$C, 3, FALSE), 0)</f>
        <v>1381.7</v>
      </c>
      <c r="H6" s="3">
        <f>IFERROR(
  IF(E6="JUL", VLOOKUP(C6, 'Data Analysis'!$A:$E, 4, FALSE),
  IF(E6="AUG", VLOOKUP(C6, 'Data Analysis'!$A:$Q, 16, FALSE),
  IF(E6="SEP", VLOOKUP(C6, 'Data Analysis'!$A:$AC, 28, FALSE), 0))),
0)</f>
        <v>1386.6</v>
      </c>
      <c r="I6" s="3">
        <f>F6*Assumptions!$B$24*G6*(1+Assumptions!$B$16)</f>
        <v>26956621.574999999</v>
      </c>
      <c r="J6" s="3">
        <f>F6*Assumptions!$B$24*H6*Assumptions!$B$18</f>
        <v>5407740</v>
      </c>
      <c r="K6" s="3">
        <f>IFERROR(VLOOKUP(D6, 'Data Analysis'!$A:$C, 3, FALSE), 0)</f>
        <v>1385.9</v>
      </c>
      <c r="L6" s="3">
        <f>(F6*Assumptions!$B$24*K6*(1-Assumptions!$B$16)) + (F6*Assumptions!$B$24*(H6-K6)*(1-Assumptions!$B$17)) + J6</f>
        <v>32432924.744999997</v>
      </c>
    </row>
    <row r="7" spans="1:13" x14ac:dyDescent="0.3">
      <c r="A7" s="3">
        <f t="shared" si="1"/>
        <v>6</v>
      </c>
      <c r="B7" s="3" t="str">
        <f>Assumptions!$A$24</f>
        <v>RELIANCE</v>
      </c>
      <c r="C7" s="25">
        <f>'Data Analysis'!A86</f>
        <v>45923</v>
      </c>
      <c r="D7" s="25">
        <f>'Data Analysis'!AC86</f>
        <v>45930</v>
      </c>
      <c r="E7" s="3" t="str">
        <f t="shared" si="0"/>
        <v>Sep</v>
      </c>
      <c r="F7" s="3">
        <v>39</v>
      </c>
      <c r="G7" s="3">
        <f>IFERROR(VLOOKUP(C7, 'Data Analysis'!$A:$C, 3, FALSE), 0)</f>
        <v>1389.8</v>
      </c>
      <c r="H7" s="3">
        <f>IFERROR(
  IF(E7="JUL", VLOOKUP(C7, 'Data Analysis'!$A:$E, 4, FALSE),
  IF(E7="AUG", VLOOKUP(C7, 'Data Analysis'!$A:$Q, 16, FALSE),
  IF(E7="SEP", VLOOKUP(C7, 'Data Analysis'!$A:$AC, 28, FALSE), 0))),
0)</f>
        <v>1394.9</v>
      </c>
      <c r="I7" s="3">
        <f>F7*Assumptions!$B$24*G7*(1+Assumptions!$B$16)</f>
        <v>27114650.549999997</v>
      </c>
      <c r="J7" s="3">
        <f>F7*Assumptions!$B$24*H7*Assumptions!$B$18</f>
        <v>5440110</v>
      </c>
      <c r="K7" s="3">
        <f>IFERROR(VLOOKUP(D7, 'Data Analysis'!$A:$C, 3, FALSE), 0)</f>
        <v>1364</v>
      </c>
      <c r="L7" s="3">
        <f>(F7*Assumptions!$B$24*K7*(1-Assumptions!$B$16)) + (F7*Assumptions!$B$24*(H7-K7)*(1-Assumptions!$B$17)) + J7</f>
        <v>32627240.490000002</v>
      </c>
    </row>
    <row r="8" spans="1:13" x14ac:dyDescent="0.3">
      <c r="A8" s="3">
        <f t="shared" si="1"/>
        <v>7</v>
      </c>
      <c r="B8" s="3" t="str">
        <f>Assumptions!$A$24</f>
        <v>RELIANCE</v>
      </c>
      <c r="C8" s="25">
        <f>'Data Analysis'!A88</f>
        <v>45925</v>
      </c>
      <c r="D8" s="25">
        <f>'Data Analysis'!AC88</f>
        <v>45930</v>
      </c>
      <c r="E8" s="3" t="str">
        <f t="shared" si="0"/>
        <v>Sep</v>
      </c>
      <c r="F8" s="3">
        <v>20</v>
      </c>
      <c r="G8" s="3">
        <f>IFERROR(VLOOKUP(C8, 'Data Analysis'!$A:$C, 3, FALSE), 0)</f>
        <v>1372.4</v>
      </c>
      <c r="H8" s="3">
        <f>IFERROR(
  IF(E8="JUL", VLOOKUP(C8, 'Data Analysis'!$A:$E, 4, FALSE),
  IF(E8="AUG", VLOOKUP(C8, 'Data Analysis'!$A:$Q, 16, FALSE),
  IF(E8="SEP", VLOOKUP(C8, 'Data Analysis'!$A:$AC, 28, FALSE), 0))),
0)</f>
        <v>1376.6</v>
      </c>
      <c r="I8" s="3">
        <f>F8*Assumptions!$B$24*G8*(1+Assumptions!$B$16)</f>
        <v>13730862</v>
      </c>
      <c r="J8" s="3">
        <f>F8*Assumptions!$B$24*H8*Assumptions!$B$18</f>
        <v>2753200</v>
      </c>
      <c r="K8" s="3">
        <f>IFERROR(VLOOKUP(D8, 'Data Analysis'!$A:$C, 3, FALSE), 0)</f>
        <v>1364</v>
      </c>
      <c r="L8" s="3">
        <f>(F8*Assumptions!$B$24*K8*(1-Assumptions!$B$16)) + (F8*Assumptions!$B$24*(H8-K8)*(1-Assumptions!$B$17)) + J8</f>
        <v>16512354.799999999</v>
      </c>
    </row>
    <row r="9" spans="1:13" x14ac:dyDescent="0.3">
      <c r="A9" s="3">
        <f t="shared" si="1"/>
        <v>8</v>
      </c>
      <c r="B9" s="3" t="str">
        <f>Assumptions!$A$25</f>
        <v>ADANI</v>
      </c>
      <c r="C9" s="25">
        <f>'Data Analysis'!A116</f>
        <v>45861</v>
      </c>
      <c r="D9" s="25">
        <f>'Data Analysis'!E121</f>
        <v>45869</v>
      </c>
      <c r="E9" s="3" t="str">
        <f t="shared" si="0"/>
        <v>Jul</v>
      </c>
      <c r="F9" s="3">
        <v>9</v>
      </c>
      <c r="G9" s="3">
        <f t="array" ref="G9">IFERROR(
    INDEX('Data Analysis'!$C:$C,
        SMALL(
            IF('Data Analysis'!$A:$A=C9,
               ROW('Data Analysis'!$A:$A)),
        2)
    ),
0)</f>
        <v>2614.5</v>
      </c>
      <c r="H9" s="3">
        <f t="array" ref="H9">IFERROR(
  IF(E9="JUL",
     INDEX('Data Analysis'!$D:$D,
           SMALL(IF('Data Analysis'!$A:$A=C9, ROW('Data Analysis'!$A:$A)), 2)),
  IF(E9="AUG",
     INDEX('Data Analysis'!$P:$P,
           SMALL(IF('Data Analysis'!$A:$A=C9, ROW('Data Analysis'!$A:$A)), 2)),
  IF(E9="SEP",
     INDEX('Data Analysis'!$AB:$AB,
           SMALL(IF('Data Analysis'!$A:$A=C9, ROW('Data Analysis'!$A:$A)), 2)),
  0))),
0)</f>
        <v>2621.8</v>
      </c>
      <c r="I9" s="3">
        <f>F9*Assumptions!$B$25*G9*(1+Assumptions!$B$16)</f>
        <v>7062679.5749999993</v>
      </c>
      <c r="J9" s="3">
        <f>F9*Assumptions!$B$25*H9*Assumptions!$B$18</f>
        <v>1415772.0000000002</v>
      </c>
      <c r="K9" s="3">
        <f t="array" ref="K9">IFERROR(
    INDEX('Data Analysis'!$C:$C,
        SMALL(
            IF('Data Analysis'!$A:$A=D9,
               ROW('Data Analysis'!$A:$A)),
        2)
    ),
0)</f>
        <v>2430.6999999999998</v>
      </c>
      <c r="L9" s="3">
        <f>(F9*Assumptions!$B$25*K9*(1-Assumptions!$B$16)) + (F9*Assumptions!$B$25*(H9-K9)*(1-Assumptions!$B$17)) + J9</f>
        <v>8491247.3610000014</v>
      </c>
    </row>
    <row r="10" spans="1:13" x14ac:dyDescent="0.3">
      <c r="A10" s="3">
        <f t="shared" si="1"/>
        <v>9</v>
      </c>
      <c r="B10" s="3" t="str">
        <f>Assumptions!$A$25</f>
        <v>ADANI</v>
      </c>
      <c r="C10" s="25">
        <f>'Data Analysis'!A122</f>
        <v>45867</v>
      </c>
      <c r="D10" s="25">
        <f>'Data Analysis'!E122</f>
        <v>45869</v>
      </c>
      <c r="E10" s="3" t="str">
        <f t="shared" si="0"/>
        <v>Jul</v>
      </c>
      <c r="F10" s="3">
        <v>3</v>
      </c>
      <c r="G10" s="3">
        <f t="array" ref="G10">IFERROR(
    INDEX('Data Analysis'!$C:$C,
        SMALL(
            IF('Data Analysis'!$A:$A=C10,
               ROW('Data Analysis'!$A:$A)),
        2)
    ),
0)</f>
        <v>2547.9</v>
      </c>
      <c r="H10" s="3">
        <f t="array" ref="H10">IFERROR(
  IF(E10="JUL",
     INDEX('Data Analysis'!$D:$D,
           SMALL(IF('Data Analysis'!$A:$A=C10, ROW('Data Analysis'!$A:$A)), 2)),
  IF(E10="AUG",
     INDEX('Data Analysis'!$P:$P,
           SMALL(IF('Data Analysis'!$A:$A=C10, ROW('Data Analysis'!$A:$A)), 2)),
  IF(E10="SEP",
     INDEX('Data Analysis'!$AB:$AB,
           SMALL(IF('Data Analysis'!$A:$A=C10, ROW('Data Analysis'!$A:$A)), 2)),
  0))),
0)</f>
        <v>2552.4</v>
      </c>
      <c r="I10" s="3">
        <f>F10*Assumptions!$B$25*G10*(1+Assumptions!$B$16)</f>
        <v>2294256.5549999997</v>
      </c>
      <c r="J10" s="3">
        <f>F10*Assumptions!$B$25*H10*Assumptions!$B$18</f>
        <v>459432</v>
      </c>
      <c r="K10" s="3">
        <f t="array" ref="K10">IFERROR(
    INDEX('Data Analysis'!$C:$C,
        SMALL(
            IF('Data Analysis'!$A:$A=D10,
               ROW('Data Analysis'!$A:$A)),
        2)
    ),
0)</f>
        <v>2430.6999999999998</v>
      </c>
      <c r="L10" s="3">
        <f>(F10*Assumptions!$B$25*K10*(1-Assumptions!$B$16)) + (F10*Assumptions!$B$25*(H10-K10)*(1-Assumptions!$B$17)) + J10</f>
        <v>2755476.2790000001</v>
      </c>
    </row>
    <row r="11" spans="1:13" x14ac:dyDescent="0.3">
      <c r="A11" s="3">
        <f t="shared" si="1"/>
        <v>10</v>
      </c>
      <c r="B11" s="3" t="str">
        <f>Assumptions!$A$25</f>
        <v>ADANI</v>
      </c>
      <c r="C11" s="25">
        <f>'Data Analysis'!A179</f>
        <v>45924</v>
      </c>
      <c r="D11" s="25">
        <f>'Data Analysis'!AC179</f>
        <v>45930</v>
      </c>
      <c r="E11" s="3" t="str">
        <f t="shared" si="0"/>
        <v>Sep</v>
      </c>
      <c r="F11" s="3">
        <v>32</v>
      </c>
      <c r="G11" s="3">
        <f t="array" ref="G11">IFERROR(
    INDEX('Data Analysis'!$C:$C,
        SMALL(
            IF('Data Analysis'!$A:$A=C11,
               ROW('Data Analysis'!$A:$A)),
        2)
    ),
0)</f>
        <v>2619.8000000000002</v>
      </c>
      <c r="H11" s="3">
        <f t="array" ref="H11">IFERROR(
  IF(E11="JUL",
     INDEX('Data Analysis'!$D:$D,
           SMALL(IF('Data Analysis'!$A:$A=C11, ROW('Data Analysis'!$A:$A)), 2)),
  IF(E11="AUG",
     INDEX('Data Analysis'!$P:$P,
           SMALL(IF('Data Analysis'!$A:$A=C11, ROW('Data Analysis'!$A:$A)), 2)),
  IF(E11="SEP",
     INDEX('Data Analysis'!$AB:$AB,
           SMALL(IF('Data Analysis'!$A:$A=C11, ROW('Data Analysis'!$A:$A)), 2)),
  0))),
0)</f>
        <v>2628.7</v>
      </c>
      <c r="I11" s="3">
        <f>F11*Assumptions!$B$25*G11*(1+Assumptions!$B$16)</f>
        <v>25162655.039999999</v>
      </c>
      <c r="J11" s="3">
        <f>F11*Assumptions!$B$25*H11*Assumptions!$B$18</f>
        <v>5047104</v>
      </c>
      <c r="K11" s="3">
        <f t="array" ref="K11">IFERROR(
    INDEX('Data Analysis'!$C:$C,
        SMALL(
            IF('Data Analysis'!$A:$A=D11,
               ROW('Data Analysis'!$A:$A)),
        2)
    ),
0)</f>
        <v>2505.9</v>
      </c>
      <c r="L11" s="3">
        <f>(F11*Assumptions!$B$25*K11*(1-Assumptions!$B$16)) + (F11*Assumptions!$B$25*(H11-K11)*(1-Assumptions!$B$17)) + J11</f>
        <v>30270359.903999995</v>
      </c>
    </row>
    <row r="12" spans="1:13" x14ac:dyDescent="0.3">
      <c r="A12" s="3">
        <f t="shared" si="1"/>
        <v>11</v>
      </c>
      <c r="B12" s="3" t="str">
        <f>Assumptions!$A$25</f>
        <v>ADANI</v>
      </c>
      <c r="C12" s="25">
        <f>'Data Analysis'!A180</f>
        <v>45925</v>
      </c>
      <c r="D12" s="25">
        <f>'Data Analysis'!AC180</f>
        <v>45930</v>
      </c>
      <c r="E12" s="3" t="str">
        <f t="shared" si="0"/>
        <v>Sep</v>
      </c>
      <c r="F12" s="3">
        <v>10</v>
      </c>
      <c r="G12" s="3">
        <f t="array" ref="G12">IFERROR(
    INDEX('Data Analysis'!$C:$C,
        SMALL(
            IF('Data Analysis'!$A:$A=C12,
               ROW('Data Analysis'!$A:$A)),
        2)
    ),
0)</f>
        <v>2576.4</v>
      </c>
      <c r="H12" s="3">
        <f t="array" ref="H12">IFERROR(
  IF(E12="JUL",
     INDEX('Data Analysis'!$D:$D,
           SMALL(IF('Data Analysis'!$A:$A=C12, ROW('Data Analysis'!$A:$A)), 2)),
  IF(E12="AUG",
     INDEX('Data Analysis'!$P:$P,
           SMALL(IF('Data Analysis'!$A:$A=C12, ROW('Data Analysis'!$A:$A)), 2)),
  IF(E12="SEP",
     INDEX('Data Analysis'!$AB:$AB,
           SMALL(IF('Data Analysis'!$A:$A=C12, ROW('Data Analysis'!$A:$A)), 2)),
  0))),
0)</f>
        <v>2586</v>
      </c>
      <c r="I12" s="3">
        <f>F12*Assumptions!$B$25*G12*(1+Assumptions!$B$16)</f>
        <v>7733064.5999999996</v>
      </c>
      <c r="J12" s="3">
        <f>F12*Assumptions!$B$25*H12*Assumptions!$B$18</f>
        <v>1551600</v>
      </c>
      <c r="K12" s="3">
        <f t="array" ref="K12">IFERROR(
    INDEX('Data Analysis'!$C:$C,
        SMALL(
            IF('Data Analysis'!$A:$A=D12,
               ROW('Data Analysis'!$A:$A)),
        2)
    ),
0)</f>
        <v>2505.9</v>
      </c>
      <c r="L12" s="3">
        <f>(F12*Assumptions!$B$25*K12*(1-Assumptions!$B$16)) + (F12*Assumptions!$B$25*(H12-K12)*(1-Assumptions!$B$17)) + J12</f>
        <v>9305793.0899999999</v>
      </c>
    </row>
    <row r="13" spans="1:13" x14ac:dyDescent="0.3">
      <c r="A13" s="3">
        <f t="shared" si="1"/>
        <v>12</v>
      </c>
      <c r="B13" s="3" t="str">
        <f>Assumptions!$A$25</f>
        <v>ADANI</v>
      </c>
      <c r="C13" s="25">
        <f>'Data Analysis'!A184</f>
        <v>45929</v>
      </c>
      <c r="D13" s="25">
        <f>'Data Analysis'!AC184</f>
        <v>45930</v>
      </c>
      <c r="E13" s="3" t="str">
        <f t="shared" si="0"/>
        <v>Sep</v>
      </c>
      <c r="F13" s="3">
        <v>5</v>
      </c>
      <c r="G13" s="3">
        <f t="array" ref="G13">IFERROR(
    INDEX('Data Analysis'!$C:$C,
        SMALL(
            IF('Data Analysis'!$A:$A=C13,
               ROW('Data Analysis'!$A:$A)),
        2)
    ),
0)</f>
        <v>2509.5</v>
      </c>
      <c r="H13" s="3">
        <f t="array" ref="H13">IFERROR(
  IF(E13="JUL",
     INDEX('Data Analysis'!$D:$D,
           SMALL(IF('Data Analysis'!$A:$A=C13, ROW('Data Analysis'!$A:$A)), 2)),
  IF(E13="AUG",
     INDEX('Data Analysis'!$P:$P,
           SMALL(IF('Data Analysis'!$A:$A=C13, ROW('Data Analysis'!$A:$A)), 2)),
  IF(E13="SEP",
     INDEX('Data Analysis'!$AB:$AB,
           SMALL(IF('Data Analysis'!$A:$A=C13, ROW('Data Analysis'!$A:$A)), 2)),
  0))),
0)</f>
        <v>2516</v>
      </c>
      <c r="I13" s="3">
        <f>F13*Assumptions!$B$25*G13*(1+Assumptions!$B$16)</f>
        <v>3766132.125</v>
      </c>
      <c r="J13" s="3">
        <f>F13*Assumptions!$B$25*H13*Assumptions!$B$18</f>
        <v>754800</v>
      </c>
      <c r="K13" s="3">
        <f t="array" ref="K13">IFERROR(
    INDEX('Data Analysis'!$C:$C,
        SMALL(
            IF('Data Analysis'!$A:$A=D13,
               ROW('Data Analysis'!$A:$A)),
        2)
    ),
0)</f>
        <v>2505.9</v>
      </c>
      <c r="L13" s="3">
        <f>(F13*Assumptions!$B$25*K13*(1-Assumptions!$B$16)) + (F13*Assumptions!$B$25*(H13-K13)*(1-Assumptions!$B$17)) + J13</f>
        <v>4526917.5449999999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94"/>
  <sheetViews>
    <sheetView workbookViewId="0"/>
  </sheetViews>
  <sheetFormatPr defaultColWidth="14.44140625" defaultRowHeight="15" customHeight="1" x14ac:dyDescent="0.3"/>
  <cols>
    <col min="3" max="3" width="20.109375" customWidth="1"/>
    <col min="4" max="4" width="22.88671875" customWidth="1"/>
    <col min="5" max="5" width="20" customWidth="1"/>
    <col min="6" max="6" width="22.44140625" customWidth="1"/>
    <col min="7" max="7" width="19" customWidth="1"/>
    <col min="8" max="8" width="22.44140625" customWidth="1"/>
    <col min="9" max="9" width="26.109375" customWidth="1"/>
    <col min="10" max="10" width="21.88671875" customWidth="1"/>
    <col min="11" max="11" width="15" customWidth="1"/>
    <col min="12" max="12" width="17.5546875" customWidth="1"/>
  </cols>
  <sheetData>
    <row r="1" spans="1:12" x14ac:dyDescent="0.3">
      <c r="A1" s="23" t="s">
        <v>39</v>
      </c>
      <c r="B1" s="23" t="s">
        <v>67</v>
      </c>
      <c r="C1" s="23" t="s">
        <v>68</v>
      </c>
      <c r="D1" s="23" t="s">
        <v>69</v>
      </c>
      <c r="E1" s="23" t="s">
        <v>70</v>
      </c>
      <c r="F1" s="23" t="s">
        <v>71</v>
      </c>
      <c r="G1" s="23" t="s">
        <v>72</v>
      </c>
      <c r="H1" s="23" t="s">
        <v>73</v>
      </c>
      <c r="I1" s="23" t="s">
        <v>74</v>
      </c>
      <c r="J1" s="23" t="s">
        <v>75</v>
      </c>
      <c r="K1" s="23" t="s">
        <v>76</v>
      </c>
      <c r="L1" s="23" t="s">
        <v>77</v>
      </c>
    </row>
    <row r="2" spans="1:12" x14ac:dyDescent="0.3">
      <c r="A2" s="25">
        <v>45839</v>
      </c>
      <c r="B2" s="3">
        <f>Assumptions!B4</f>
        <v>100000000</v>
      </c>
      <c r="C2" s="3">
        <f>SUMIF(Trade_Log!$C:$C, A2, Trade_Log!$I:$I)</f>
        <v>0</v>
      </c>
      <c r="D2" s="3">
        <f>SUMIF(Trade_Log!$C:$C, A2, Trade_Log!$J:$J)</f>
        <v>0</v>
      </c>
      <c r="E2" s="3">
        <f t="shared" ref="E2:E93" si="0">-(C2+D2)</f>
        <v>0</v>
      </c>
      <c r="F2" s="3">
        <f>SUMIF(Trade_Log!$D:$D, A2, Trade_Log!$L:$L)</f>
        <v>0</v>
      </c>
      <c r="G2" s="3">
        <f t="shared" ref="G2:G93" si="1">B2+E2+F2</f>
        <v>100000000</v>
      </c>
      <c r="H2" s="3">
        <f>G2*Assumptions!$B$5/365</f>
        <v>16438.35616438356</v>
      </c>
      <c r="I2" s="3">
        <f>SUMIFS(Trade_Log!$I:$I, Trade_Log!$C:$C, "&lt;="&amp;A2, Trade_Log!$D:$D, "&gt;"&amp;A2)</f>
        <v>0</v>
      </c>
      <c r="J2" s="3">
        <f>SUMIFS(Trade_Log!$J:$J, Trade_Log!$C:$C, "&lt;="&amp;A2, Trade_Log!$D:$D, "&gt;"&amp;A2)</f>
        <v>0</v>
      </c>
      <c r="K2" s="3">
        <f t="shared" ref="K2:K93" si="2">G2+H2</f>
        <v>100016438.35616438</v>
      </c>
      <c r="L2" s="3">
        <f t="shared" ref="L2:L93" si="3">K2+I2+J2</f>
        <v>100016438.35616438</v>
      </c>
    </row>
    <row r="3" spans="1:12" x14ac:dyDescent="0.3">
      <c r="A3" s="25">
        <v>45840</v>
      </c>
      <c r="B3" s="3">
        <f t="shared" ref="B3:B93" si="4">K2</f>
        <v>100016438.35616438</v>
      </c>
      <c r="C3" s="3">
        <f>SUMIF(Trade_Log!$C:$C, A3, Trade_Log!$I:$I)</f>
        <v>0</v>
      </c>
      <c r="D3" s="3">
        <f>SUMIF(Trade_Log!$C:$C, A3, Trade_Log!$J:$J)</f>
        <v>0</v>
      </c>
      <c r="E3" s="3">
        <f t="shared" si="0"/>
        <v>0</v>
      </c>
      <c r="F3" s="3">
        <f>SUMIF(Trade_Log!$D:$D, A3, Trade_Log!$L:$L)</f>
        <v>0</v>
      </c>
      <c r="G3" s="3">
        <f t="shared" si="1"/>
        <v>100016438.35616438</v>
      </c>
      <c r="H3" s="3">
        <f>G3*Assumptions!$B$5/365</f>
        <v>16441.058359917432</v>
      </c>
      <c r="I3" s="3">
        <f>SUMIFS(Trade_Log!$I:$I, Trade_Log!$C:$C, "&lt;="&amp;A3, Trade_Log!$D:$D, "&gt;"&amp;A3)</f>
        <v>0</v>
      </c>
      <c r="J3" s="3">
        <f>SUMIFS(Trade_Log!$J:$J, Trade_Log!$C:$C, "&lt;="&amp;A3, Trade_Log!$D:$D, "&gt;"&amp;A3)</f>
        <v>0</v>
      </c>
      <c r="K3" s="3">
        <f t="shared" si="2"/>
        <v>100032879.4145243</v>
      </c>
      <c r="L3" s="3">
        <f t="shared" si="3"/>
        <v>100032879.4145243</v>
      </c>
    </row>
    <row r="4" spans="1:12" x14ac:dyDescent="0.3">
      <c r="A4" s="25">
        <v>45841</v>
      </c>
      <c r="B4" s="3">
        <f t="shared" si="4"/>
        <v>100032879.4145243</v>
      </c>
      <c r="C4" s="3">
        <f>SUMIF(Trade_Log!$C:$C, A4, Trade_Log!$I:$I)</f>
        <v>0</v>
      </c>
      <c r="D4" s="3">
        <f>SUMIF(Trade_Log!$C:$C, A4, Trade_Log!$J:$J)</f>
        <v>0</v>
      </c>
      <c r="E4" s="3">
        <f t="shared" si="0"/>
        <v>0</v>
      </c>
      <c r="F4" s="3">
        <f>SUMIF(Trade_Log!$D:$D, A4, Trade_Log!$L:$L)</f>
        <v>0</v>
      </c>
      <c r="G4" s="3">
        <f t="shared" si="1"/>
        <v>100032879.4145243</v>
      </c>
      <c r="H4" s="3">
        <f>G4*Assumptions!$B$5/365</f>
        <v>16443.760999647828</v>
      </c>
      <c r="I4" s="3">
        <f>SUMIFS(Trade_Log!$I:$I, Trade_Log!$C:$C, "&lt;="&amp;A4, Trade_Log!$D:$D, "&gt;"&amp;A4)</f>
        <v>0</v>
      </c>
      <c r="J4" s="3">
        <f>SUMIFS(Trade_Log!$J:$J, Trade_Log!$C:$C, "&lt;="&amp;A4, Trade_Log!$D:$D, "&gt;"&amp;A4)</f>
        <v>0</v>
      </c>
      <c r="K4" s="3">
        <f t="shared" si="2"/>
        <v>100049323.17552395</v>
      </c>
      <c r="L4" s="3">
        <f t="shared" si="3"/>
        <v>100049323.17552395</v>
      </c>
    </row>
    <row r="5" spans="1:12" x14ac:dyDescent="0.3">
      <c r="A5" s="25">
        <v>45842</v>
      </c>
      <c r="B5" s="3">
        <f t="shared" si="4"/>
        <v>100049323.17552395</v>
      </c>
      <c r="C5" s="3">
        <f>SUMIF(Trade_Log!$C:$C, A5, Trade_Log!$I:$I)</f>
        <v>0</v>
      </c>
      <c r="D5" s="3">
        <f>SUMIF(Trade_Log!$C:$C, A5, Trade_Log!$J:$J)</f>
        <v>0</v>
      </c>
      <c r="E5" s="3">
        <f t="shared" si="0"/>
        <v>0</v>
      </c>
      <c r="F5" s="3">
        <f>SUMIF(Trade_Log!$D:$D, A5, Trade_Log!$L:$L)</f>
        <v>0</v>
      </c>
      <c r="G5" s="3">
        <f t="shared" si="1"/>
        <v>100049323.17552395</v>
      </c>
      <c r="H5" s="3">
        <f>G5*Assumptions!$B$5/365</f>
        <v>16446.46408364777</v>
      </c>
      <c r="I5" s="3">
        <f>SUMIFS(Trade_Log!$I:$I, Trade_Log!$C:$C, "&lt;="&amp;A5, Trade_Log!$D:$D, "&gt;"&amp;A5)</f>
        <v>0</v>
      </c>
      <c r="J5" s="3">
        <f>SUMIFS(Trade_Log!$J:$J, Trade_Log!$C:$C, "&lt;="&amp;A5, Trade_Log!$D:$D, "&gt;"&amp;A5)</f>
        <v>0</v>
      </c>
      <c r="K5" s="3">
        <f t="shared" si="2"/>
        <v>100065769.63960759</v>
      </c>
      <c r="L5" s="3">
        <f t="shared" si="3"/>
        <v>100065769.63960759</v>
      </c>
    </row>
    <row r="6" spans="1:12" x14ac:dyDescent="0.3">
      <c r="A6" s="25">
        <v>45843</v>
      </c>
      <c r="B6" s="3">
        <f t="shared" si="4"/>
        <v>100065769.63960759</v>
      </c>
      <c r="C6" s="3">
        <f>SUMIF(Trade_Log!$C:$C, A6, Trade_Log!$I:$I)</f>
        <v>0</v>
      </c>
      <c r="D6" s="3">
        <f>SUMIF(Trade_Log!$C:$C, A6, Trade_Log!$J:$J)</f>
        <v>0</v>
      </c>
      <c r="E6" s="3">
        <f t="shared" si="0"/>
        <v>0</v>
      </c>
      <c r="F6" s="3">
        <f>SUMIF(Trade_Log!$D:$D, A6, Trade_Log!$L:$L)</f>
        <v>0</v>
      </c>
      <c r="G6" s="3">
        <f t="shared" si="1"/>
        <v>100065769.63960759</v>
      </c>
      <c r="H6" s="3">
        <f>G6*Assumptions!$B$5/365</f>
        <v>16449.167611990291</v>
      </c>
      <c r="I6" s="3">
        <f>SUMIFS(Trade_Log!$I:$I, Trade_Log!$C:$C, "&lt;="&amp;A6, Trade_Log!$D:$D, "&gt;"&amp;A6)</f>
        <v>0</v>
      </c>
      <c r="J6" s="3">
        <f>SUMIFS(Trade_Log!$J:$J, Trade_Log!$C:$C, "&lt;="&amp;A6, Trade_Log!$D:$D, "&gt;"&amp;A6)</f>
        <v>0</v>
      </c>
      <c r="K6" s="3">
        <f t="shared" si="2"/>
        <v>100082218.80721958</v>
      </c>
      <c r="L6" s="3">
        <f t="shared" si="3"/>
        <v>100082218.80721958</v>
      </c>
    </row>
    <row r="7" spans="1:12" x14ac:dyDescent="0.3">
      <c r="A7" s="25">
        <v>45844</v>
      </c>
      <c r="B7" s="3">
        <f t="shared" si="4"/>
        <v>100082218.80721958</v>
      </c>
      <c r="C7" s="3">
        <f>SUMIF(Trade_Log!$C:$C, A7, Trade_Log!$I:$I)</f>
        <v>0</v>
      </c>
      <c r="D7" s="3">
        <f>SUMIF(Trade_Log!$C:$C, A7, Trade_Log!$J:$J)</f>
        <v>0</v>
      </c>
      <c r="E7" s="3">
        <f t="shared" si="0"/>
        <v>0</v>
      </c>
      <c r="F7" s="3">
        <f>SUMIF(Trade_Log!$D:$D, A7, Trade_Log!$L:$L)</f>
        <v>0</v>
      </c>
      <c r="G7" s="3">
        <f t="shared" si="1"/>
        <v>100082218.80721958</v>
      </c>
      <c r="H7" s="3">
        <f>G7*Assumptions!$B$5/365</f>
        <v>16451.871584748424</v>
      </c>
      <c r="I7" s="3">
        <f>SUMIFS(Trade_Log!$I:$I, Trade_Log!$C:$C, "&lt;="&amp;A7, Trade_Log!$D:$D, "&gt;"&amp;A7)</f>
        <v>0</v>
      </c>
      <c r="J7" s="3">
        <f>SUMIFS(Trade_Log!$J:$J, Trade_Log!$C:$C, "&lt;="&amp;A7, Trade_Log!$D:$D, "&gt;"&amp;A7)</f>
        <v>0</v>
      </c>
      <c r="K7" s="3">
        <f t="shared" si="2"/>
        <v>100098670.67880432</v>
      </c>
      <c r="L7" s="3">
        <f t="shared" si="3"/>
        <v>100098670.67880432</v>
      </c>
    </row>
    <row r="8" spans="1:12" x14ac:dyDescent="0.3">
      <c r="A8" s="25">
        <v>45845</v>
      </c>
      <c r="B8" s="3">
        <f t="shared" si="4"/>
        <v>100098670.67880432</v>
      </c>
      <c r="C8" s="3">
        <f>SUMIF(Trade_Log!$C:$C, A8, Trade_Log!$I:$I)</f>
        <v>0</v>
      </c>
      <c r="D8" s="3">
        <f>SUMIF(Trade_Log!$C:$C, A8, Trade_Log!$J:$J)</f>
        <v>0</v>
      </c>
      <c r="E8" s="3">
        <f t="shared" si="0"/>
        <v>0</v>
      </c>
      <c r="F8" s="3">
        <f>SUMIF(Trade_Log!$D:$D, A8, Trade_Log!$L:$L)</f>
        <v>0</v>
      </c>
      <c r="G8" s="3">
        <f t="shared" si="1"/>
        <v>100098670.67880432</v>
      </c>
      <c r="H8" s="3">
        <f>G8*Assumptions!$B$5/365</f>
        <v>16454.576001995229</v>
      </c>
      <c r="I8" s="3">
        <f>SUMIFS(Trade_Log!$I:$I, Trade_Log!$C:$C, "&lt;="&amp;A8, Trade_Log!$D:$D, "&gt;"&amp;A8)</f>
        <v>0</v>
      </c>
      <c r="J8" s="3">
        <f>SUMIFS(Trade_Log!$J:$J, Trade_Log!$C:$C, "&lt;="&amp;A8, Trade_Log!$D:$D, "&gt;"&amp;A8)</f>
        <v>0</v>
      </c>
      <c r="K8" s="3">
        <f t="shared" si="2"/>
        <v>100115125.25480632</v>
      </c>
      <c r="L8" s="3">
        <f t="shared" si="3"/>
        <v>100115125.25480632</v>
      </c>
    </row>
    <row r="9" spans="1:12" x14ac:dyDescent="0.3">
      <c r="A9" s="25">
        <v>45846</v>
      </c>
      <c r="B9" s="3">
        <f t="shared" si="4"/>
        <v>100115125.25480632</v>
      </c>
      <c r="C9" s="3">
        <f>SUMIF(Trade_Log!$C:$C, A9, Trade_Log!$I:$I)</f>
        <v>0</v>
      </c>
      <c r="D9" s="3">
        <f>SUMIF(Trade_Log!$C:$C, A9, Trade_Log!$J:$J)</f>
        <v>0</v>
      </c>
      <c r="E9" s="3">
        <f t="shared" si="0"/>
        <v>0</v>
      </c>
      <c r="F9" s="3">
        <f>SUMIF(Trade_Log!$D:$D, A9, Trade_Log!$L:$L)</f>
        <v>0</v>
      </c>
      <c r="G9" s="3">
        <f t="shared" si="1"/>
        <v>100115125.25480632</v>
      </c>
      <c r="H9" s="3">
        <f>G9*Assumptions!$B$5/365</f>
        <v>16457.280863803779</v>
      </c>
      <c r="I9" s="3">
        <f>SUMIFS(Trade_Log!$I:$I, Trade_Log!$C:$C, "&lt;="&amp;A9, Trade_Log!$D:$D, "&gt;"&amp;A9)</f>
        <v>0</v>
      </c>
      <c r="J9" s="3">
        <f>SUMIFS(Trade_Log!$J:$J, Trade_Log!$C:$C, "&lt;="&amp;A9, Trade_Log!$D:$D, "&gt;"&amp;A9)</f>
        <v>0</v>
      </c>
      <c r="K9" s="3">
        <f t="shared" si="2"/>
        <v>100131582.53567013</v>
      </c>
      <c r="L9" s="3">
        <f t="shared" si="3"/>
        <v>100131582.53567013</v>
      </c>
    </row>
    <row r="10" spans="1:12" x14ac:dyDescent="0.3">
      <c r="A10" s="25">
        <v>45847</v>
      </c>
      <c r="B10" s="3">
        <f t="shared" si="4"/>
        <v>100131582.53567013</v>
      </c>
      <c r="C10" s="3">
        <f>SUMIF(Trade_Log!$C:$C, A10, Trade_Log!$I:$I)</f>
        <v>0</v>
      </c>
      <c r="D10" s="3">
        <f>SUMIF(Trade_Log!$C:$C, A10, Trade_Log!$J:$J)</f>
        <v>0</v>
      </c>
      <c r="E10" s="3">
        <f t="shared" si="0"/>
        <v>0</v>
      </c>
      <c r="F10" s="3">
        <f>SUMIF(Trade_Log!$D:$D, A10, Trade_Log!$L:$L)</f>
        <v>0</v>
      </c>
      <c r="G10" s="3">
        <f t="shared" si="1"/>
        <v>100131582.53567013</v>
      </c>
      <c r="H10" s="3">
        <f>G10*Assumptions!$B$5/365</f>
        <v>16459.986170247143</v>
      </c>
      <c r="I10" s="3">
        <f>SUMIFS(Trade_Log!$I:$I, Trade_Log!$C:$C, "&lt;="&amp;A10, Trade_Log!$D:$D, "&gt;"&amp;A10)</f>
        <v>0</v>
      </c>
      <c r="J10" s="3">
        <f>SUMIFS(Trade_Log!$J:$J, Trade_Log!$C:$C, "&lt;="&amp;A10, Trade_Log!$D:$D, "&gt;"&amp;A10)</f>
        <v>0</v>
      </c>
      <c r="K10" s="3">
        <f t="shared" si="2"/>
        <v>100148042.52184038</v>
      </c>
      <c r="L10" s="3">
        <f t="shared" si="3"/>
        <v>100148042.52184038</v>
      </c>
    </row>
    <row r="11" spans="1:12" x14ac:dyDescent="0.3">
      <c r="A11" s="25">
        <v>45848</v>
      </c>
      <c r="B11" s="3">
        <f t="shared" si="4"/>
        <v>100148042.52184038</v>
      </c>
      <c r="C11" s="3">
        <f>SUMIF(Trade_Log!$C:$C, A11, Trade_Log!$I:$I)</f>
        <v>0</v>
      </c>
      <c r="D11" s="3">
        <f>SUMIF(Trade_Log!$C:$C, A11, Trade_Log!$J:$J)</f>
        <v>0</v>
      </c>
      <c r="E11" s="3">
        <f t="shared" si="0"/>
        <v>0</v>
      </c>
      <c r="F11" s="3">
        <f>SUMIF(Trade_Log!$D:$D, A11, Trade_Log!$L:$L)</f>
        <v>0</v>
      </c>
      <c r="G11" s="3">
        <f t="shared" si="1"/>
        <v>100148042.52184038</v>
      </c>
      <c r="H11" s="3">
        <f>G11*Assumptions!$B$5/365</f>
        <v>16462.691921398418</v>
      </c>
      <c r="I11" s="3">
        <f>SUMIFS(Trade_Log!$I:$I, Trade_Log!$C:$C, "&lt;="&amp;A11, Trade_Log!$D:$D, "&gt;"&amp;A11)</f>
        <v>0</v>
      </c>
      <c r="J11" s="3">
        <f>SUMIFS(Trade_Log!$J:$J, Trade_Log!$C:$C, "&lt;="&amp;A11, Trade_Log!$D:$D, "&gt;"&amp;A11)</f>
        <v>0</v>
      </c>
      <c r="K11" s="3">
        <f t="shared" si="2"/>
        <v>100164505.21376178</v>
      </c>
      <c r="L11" s="3">
        <f t="shared" si="3"/>
        <v>100164505.21376178</v>
      </c>
    </row>
    <row r="12" spans="1:12" x14ac:dyDescent="0.3">
      <c r="A12" s="25">
        <v>45849</v>
      </c>
      <c r="B12" s="3">
        <f t="shared" si="4"/>
        <v>100164505.21376178</v>
      </c>
      <c r="C12" s="3">
        <f>SUMIF(Trade_Log!$C:$C, A12, Trade_Log!$I:$I)</f>
        <v>0</v>
      </c>
      <c r="D12" s="3">
        <f>SUMIF(Trade_Log!$C:$C, A12, Trade_Log!$J:$J)</f>
        <v>0</v>
      </c>
      <c r="E12" s="3">
        <f t="shared" si="0"/>
        <v>0</v>
      </c>
      <c r="F12" s="3">
        <f>SUMIF(Trade_Log!$D:$D, A12, Trade_Log!$L:$L)</f>
        <v>0</v>
      </c>
      <c r="G12" s="3">
        <f t="shared" si="1"/>
        <v>100164505.21376178</v>
      </c>
      <c r="H12" s="3">
        <f>G12*Assumptions!$B$5/365</f>
        <v>16465.398117330704</v>
      </c>
      <c r="I12" s="3">
        <f>SUMIFS(Trade_Log!$I:$I, Trade_Log!$C:$C, "&lt;="&amp;A12, Trade_Log!$D:$D, "&gt;"&amp;A12)</f>
        <v>0</v>
      </c>
      <c r="J12" s="3">
        <f>SUMIFS(Trade_Log!$J:$J, Trade_Log!$C:$C, "&lt;="&amp;A12, Trade_Log!$D:$D, "&gt;"&amp;A12)</f>
        <v>0</v>
      </c>
      <c r="K12" s="3">
        <f t="shared" si="2"/>
        <v>100180970.61187911</v>
      </c>
      <c r="L12" s="3">
        <f t="shared" si="3"/>
        <v>100180970.61187911</v>
      </c>
    </row>
    <row r="13" spans="1:12" x14ac:dyDescent="0.3">
      <c r="A13" s="25">
        <v>45850</v>
      </c>
      <c r="B13" s="3">
        <f t="shared" si="4"/>
        <v>100180970.61187911</v>
      </c>
      <c r="C13" s="3">
        <f>SUMIF(Trade_Log!$C:$C, A13, Trade_Log!$I:$I)</f>
        <v>0</v>
      </c>
      <c r="D13" s="3">
        <f>SUMIF(Trade_Log!$C:$C, A13, Trade_Log!$J:$J)</f>
        <v>0</v>
      </c>
      <c r="E13" s="3">
        <f t="shared" si="0"/>
        <v>0</v>
      </c>
      <c r="F13" s="3">
        <f>SUMIF(Trade_Log!$D:$D, A13, Trade_Log!$L:$L)</f>
        <v>0</v>
      </c>
      <c r="G13" s="3">
        <f t="shared" si="1"/>
        <v>100180970.61187911</v>
      </c>
      <c r="H13" s="3">
        <f>G13*Assumptions!$B$5/365</f>
        <v>16468.104758117111</v>
      </c>
      <c r="I13" s="3">
        <f>SUMIFS(Trade_Log!$I:$I, Trade_Log!$C:$C, "&lt;="&amp;A13, Trade_Log!$D:$D, "&gt;"&amp;A13)</f>
        <v>0</v>
      </c>
      <c r="J13" s="3">
        <f>SUMIFS(Trade_Log!$J:$J, Trade_Log!$C:$C, "&lt;="&amp;A13, Trade_Log!$D:$D, "&gt;"&amp;A13)</f>
        <v>0</v>
      </c>
      <c r="K13" s="3">
        <f t="shared" si="2"/>
        <v>100197438.71663722</v>
      </c>
      <c r="L13" s="3">
        <f t="shared" si="3"/>
        <v>100197438.71663722</v>
      </c>
    </row>
    <row r="14" spans="1:12" x14ac:dyDescent="0.3">
      <c r="A14" s="25">
        <v>45851</v>
      </c>
      <c r="B14" s="3">
        <f t="shared" si="4"/>
        <v>100197438.71663722</v>
      </c>
      <c r="C14" s="3">
        <f>SUMIF(Trade_Log!$C:$C, A14, Trade_Log!$I:$I)</f>
        <v>0</v>
      </c>
      <c r="D14" s="3">
        <f>SUMIF(Trade_Log!$C:$C, A14, Trade_Log!$J:$J)</f>
        <v>0</v>
      </c>
      <c r="E14" s="3">
        <f t="shared" si="0"/>
        <v>0</v>
      </c>
      <c r="F14" s="3">
        <f>SUMIF(Trade_Log!$D:$D, A14, Trade_Log!$L:$L)</f>
        <v>0</v>
      </c>
      <c r="G14" s="3">
        <f t="shared" si="1"/>
        <v>100197438.71663722</v>
      </c>
      <c r="H14" s="3">
        <f>G14*Assumptions!$B$5/365</f>
        <v>16470.811843830776</v>
      </c>
      <c r="I14" s="3">
        <f>SUMIFS(Trade_Log!$I:$I, Trade_Log!$C:$C, "&lt;="&amp;A14, Trade_Log!$D:$D, "&gt;"&amp;A14)</f>
        <v>0</v>
      </c>
      <c r="J14" s="3">
        <f>SUMIFS(Trade_Log!$J:$J, Trade_Log!$C:$C, "&lt;="&amp;A14, Trade_Log!$D:$D, "&gt;"&amp;A14)</f>
        <v>0</v>
      </c>
      <c r="K14" s="3">
        <f t="shared" si="2"/>
        <v>100213909.52848105</v>
      </c>
      <c r="L14" s="3">
        <f t="shared" si="3"/>
        <v>100213909.52848105</v>
      </c>
    </row>
    <row r="15" spans="1:12" x14ac:dyDescent="0.3">
      <c r="A15" s="25">
        <v>45852</v>
      </c>
      <c r="B15" s="3">
        <f t="shared" si="4"/>
        <v>100213909.52848105</v>
      </c>
      <c r="C15" s="3">
        <f>SUMIF(Trade_Log!$C:$C, A15, Trade_Log!$I:$I)</f>
        <v>0</v>
      </c>
      <c r="D15" s="3">
        <f>SUMIF(Trade_Log!$C:$C, A15, Trade_Log!$J:$J)</f>
        <v>0</v>
      </c>
      <c r="E15" s="3">
        <f t="shared" si="0"/>
        <v>0</v>
      </c>
      <c r="F15" s="3">
        <f>SUMIF(Trade_Log!$D:$D, A15, Trade_Log!$L:$L)</f>
        <v>0</v>
      </c>
      <c r="G15" s="3">
        <f t="shared" si="1"/>
        <v>100213909.52848105</v>
      </c>
      <c r="H15" s="3">
        <f>G15*Assumptions!$B$5/365</f>
        <v>16473.51937454483</v>
      </c>
      <c r="I15" s="3">
        <f>SUMIFS(Trade_Log!$I:$I, Trade_Log!$C:$C, "&lt;="&amp;A15, Trade_Log!$D:$D, "&gt;"&amp;A15)</f>
        <v>0</v>
      </c>
      <c r="J15" s="3">
        <f>SUMIFS(Trade_Log!$J:$J, Trade_Log!$C:$C, "&lt;="&amp;A15, Trade_Log!$D:$D, "&gt;"&amp;A15)</f>
        <v>0</v>
      </c>
      <c r="K15" s="3">
        <f t="shared" si="2"/>
        <v>100230383.0478556</v>
      </c>
      <c r="L15" s="3">
        <f t="shared" si="3"/>
        <v>100230383.0478556</v>
      </c>
    </row>
    <row r="16" spans="1:12" x14ac:dyDescent="0.3">
      <c r="A16" s="25">
        <v>45853</v>
      </c>
      <c r="B16" s="3">
        <f t="shared" si="4"/>
        <v>100230383.0478556</v>
      </c>
      <c r="C16" s="3">
        <f>SUMIF(Trade_Log!$C:$C, A16, Trade_Log!$I:$I)</f>
        <v>0</v>
      </c>
      <c r="D16" s="3">
        <f>SUMIF(Trade_Log!$C:$C, A16, Trade_Log!$J:$J)</f>
        <v>0</v>
      </c>
      <c r="E16" s="3">
        <f t="shared" si="0"/>
        <v>0</v>
      </c>
      <c r="F16" s="3">
        <f>SUMIF(Trade_Log!$D:$D, A16, Trade_Log!$L:$L)</f>
        <v>0</v>
      </c>
      <c r="G16" s="3">
        <f t="shared" si="1"/>
        <v>100230383.0478556</v>
      </c>
      <c r="H16" s="3">
        <f>G16*Assumptions!$B$5/365</f>
        <v>16476.227350332429</v>
      </c>
      <c r="I16" s="3">
        <f>SUMIFS(Trade_Log!$I:$I, Trade_Log!$C:$C, "&lt;="&amp;A16, Trade_Log!$D:$D, "&gt;"&amp;A16)</f>
        <v>0</v>
      </c>
      <c r="J16" s="3">
        <f>SUMIFS(Trade_Log!$J:$J, Trade_Log!$C:$C, "&lt;="&amp;A16, Trade_Log!$D:$D, "&gt;"&amp;A16)</f>
        <v>0</v>
      </c>
      <c r="K16" s="3">
        <f t="shared" si="2"/>
        <v>100246859.27520594</v>
      </c>
      <c r="L16" s="3">
        <f t="shared" si="3"/>
        <v>100246859.27520594</v>
      </c>
    </row>
    <row r="17" spans="1:12" x14ac:dyDescent="0.3">
      <c r="A17" s="25">
        <v>45854</v>
      </c>
      <c r="B17" s="3">
        <f t="shared" si="4"/>
        <v>100246859.27520594</v>
      </c>
      <c r="C17" s="3">
        <f>SUMIF(Trade_Log!$C:$C, A17, Trade_Log!$I:$I)</f>
        <v>0</v>
      </c>
      <c r="D17" s="3">
        <f>SUMIF(Trade_Log!$C:$C, A17, Trade_Log!$J:$J)</f>
        <v>0</v>
      </c>
      <c r="E17" s="3">
        <f t="shared" si="0"/>
        <v>0</v>
      </c>
      <c r="F17" s="3">
        <f>SUMIF(Trade_Log!$D:$D, A17, Trade_Log!$L:$L)</f>
        <v>0</v>
      </c>
      <c r="G17" s="3">
        <f t="shared" si="1"/>
        <v>100246859.27520594</v>
      </c>
      <c r="H17" s="3">
        <f>G17*Assumptions!$B$5/365</f>
        <v>16478.93577126673</v>
      </c>
      <c r="I17" s="3">
        <f>SUMIFS(Trade_Log!$I:$I, Trade_Log!$C:$C, "&lt;="&amp;A17, Trade_Log!$D:$D, "&gt;"&amp;A17)</f>
        <v>0</v>
      </c>
      <c r="J17" s="3">
        <f>SUMIFS(Trade_Log!$J:$J, Trade_Log!$C:$C, "&lt;="&amp;A17, Trade_Log!$D:$D, "&gt;"&amp;A17)</f>
        <v>0</v>
      </c>
      <c r="K17" s="3">
        <f t="shared" si="2"/>
        <v>100263338.21097721</v>
      </c>
      <c r="L17" s="3">
        <f t="shared" si="3"/>
        <v>100263338.21097721</v>
      </c>
    </row>
    <row r="18" spans="1:12" x14ac:dyDescent="0.3">
      <c r="A18" s="25">
        <v>45855</v>
      </c>
      <c r="B18" s="3">
        <f t="shared" si="4"/>
        <v>100263338.21097721</v>
      </c>
      <c r="C18" s="3">
        <f>SUMIF(Trade_Log!$C:$C, A18, Trade_Log!$I:$I)</f>
        <v>27327056.699999999</v>
      </c>
      <c r="D18" s="3">
        <f>SUMIF(Trade_Log!$C:$C, A18, Trade_Log!$J:$J)</f>
        <v>5485620</v>
      </c>
      <c r="E18" s="3">
        <f t="shared" si="0"/>
        <v>-32812676.699999999</v>
      </c>
      <c r="F18" s="3">
        <f>SUMIF(Trade_Log!$D:$D, A18, Trade_Log!$L:$L)</f>
        <v>0</v>
      </c>
      <c r="G18" s="3">
        <f t="shared" si="1"/>
        <v>67450661.510977209</v>
      </c>
      <c r="H18" s="3">
        <f>G18*Assumptions!$B$5/365</f>
        <v>11087.779974407211</v>
      </c>
      <c r="I18" s="3">
        <f>SUMIFS(Trade_Log!$I:$I, Trade_Log!$C:$C, "&lt;="&amp;A18, Trade_Log!$D:$D, "&gt;"&amp;A18)</f>
        <v>27327056.699999999</v>
      </c>
      <c r="J18" s="3">
        <f>SUMIFS(Trade_Log!$J:$J, Trade_Log!$C:$C, "&lt;="&amp;A18, Trade_Log!$D:$D, "&gt;"&amp;A18)</f>
        <v>5485620</v>
      </c>
      <c r="K18" s="3">
        <f t="shared" si="2"/>
        <v>67461749.29095161</v>
      </c>
      <c r="L18" s="3">
        <f t="shared" si="3"/>
        <v>100274425.99095161</v>
      </c>
    </row>
    <row r="19" spans="1:12" x14ac:dyDescent="0.3">
      <c r="A19" s="25">
        <v>45856</v>
      </c>
      <c r="B19" s="3">
        <f t="shared" si="4"/>
        <v>67461749.29095161</v>
      </c>
      <c r="C19" s="3">
        <f>SUMIF(Trade_Log!$C:$C, A19, Trade_Log!$I:$I)</f>
        <v>25104546</v>
      </c>
      <c r="D19" s="3">
        <f>SUMIF(Trade_Log!$C:$C, A19, Trade_Log!$J:$J)</f>
        <v>5040840</v>
      </c>
      <c r="E19" s="3">
        <f t="shared" si="0"/>
        <v>-30145386</v>
      </c>
      <c r="F19" s="3">
        <f>SUMIF(Trade_Log!$D:$D, A19, Trade_Log!$L:$L)</f>
        <v>0</v>
      </c>
      <c r="G19" s="3">
        <f t="shared" si="1"/>
        <v>37316363.29095161</v>
      </c>
      <c r="H19" s="3">
        <f>G19*Assumptions!$B$5/365</f>
        <v>6134.1967053619082</v>
      </c>
      <c r="I19" s="3">
        <f>SUMIFS(Trade_Log!$I:$I, Trade_Log!$C:$C, "&lt;="&amp;A19, Trade_Log!$D:$D, "&gt;"&amp;A19)</f>
        <v>52431602.700000003</v>
      </c>
      <c r="J19" s="3">
        <f>SUMIFS(Trade_Log!$J:$J, Trade_Log!$C:$C, "&lt;="&amp;A19, Trade_Log!$D:$D, "&gt;"&amp;A19)</f>
        <v>10526460</v>
      </c>
      <c r="K19" s="3">
        <f t="shared" si="2"/>
        <v>37322497.487656973</v>
      </c>
      <c r="L19" s="3">
        <f t="shared" si="3"/>
        <v>100280560.18765697</v>
      </c>
    </row>
    <row r="20" spans="1:12" x14ac:dyDescent="0.3">
      <c r="A20" s="25">
        <v>45857</v>
      </c>
      <c r="B20" s="3">
        <f t="shared" si="4"/>
        <v>37322497.487656973</v>
      </c>
      <c r="C20" s="3">
        <f>SUMIF(Trade_Log!$C:$C, A20, Trade_Log!$I:$I)</f>
        <v>0</v>
      </c>
      <c r="D20" s="3">
        <f>SUMIF(Trade_Log!$C:$C, A20, Trade_Log!$J:$J)</f>
        <v>0</v>
      </c>
      <c r="E20" s="3">
        <f t="shared" si="0"/>
        <v>0</v>
      </c>
      <c r="F20" s="3">
        <f>SUMIF(Trade_Log!$D:$D, A20, Trade_Log!$L:$L)</f>
        <v>0</v>
      </c>
      <c r="G20" s="3">
        <f t="shared" si="1"/>
        <v>37322497.487656973</v>
      </c>
      <c r="H20" s="3">
        <f>G20*Assumptions!$B$5/365</f>
        <v>6135.2050664641602</v>
      </c>
      <c r="I20" s="3">
        <f>SUMIFS(Trade_Log!$I:$I, Trade_Log!$C:$C, "&lt;="&amp;A20, Trade_Log!$D:$D, "&gt;"&amp;A20)</f>
        <v>52431602.700000003</v>
      </c>
      <c r="J20" s="3">
        <f>SUMIFS(Trade_Log!$J:$J, Trade_Log!$C:$C, "&lt;="&amp;A20, Trade_Log!$D:$D, "&gt;"&amp;A20)</f>
        <v>10526460</v>
      </c>
      <c r="K20" s="3">
        <f t="shared" si="2"/>
        <v>37328632.692723438</v>
      </c>
      <c r="L20" s="3">
        <f t="shared" si="3"/>
        <v>100286695.39272344</v>
      </c>
    </row>
    <row r="21" spans="1:12" x14ac:dyDescent="0.3">
      <c r="A21" s="25">
        <v>45858</v>
      </c>
      <c r="B21" s="3">
        <f t="shared" si="4"/>
        <v>37328632.692723438</v>
      </c>
      <c r="C21" s="3">
        <f>SUMIF(Trade_Log!$C:$C, A21, Trade_Log!$I:$I)</f>
        <v>0</v>
      </c>
      <c r="D21" s="3">
        <f>SUMIF(Trade_Log!$C:$C, A21, Trade_Log!$J:$J)</f>
        <v>0</v>
      </c>
      <c r="E21" s="3">
        <f t="shared" si="0"/>
        <v>0</v>
      </c>
      <c r="F21" s="3">
        <f>SUMIF(Trade_Log!$D:$D, A21, Trade_Log!$L:$L)</f>
        <v>0</v>
      </c>
      <c r="G21" s="3">
        <f t="shared" si="1"/>
        <v>37328632.692723438</v>
      </c>
      <c r="H21" s="3">
        <f>G21*Assumptions!$B$5/365</f>
        <v>6136.2135933243999</v>
      </c>
      <c r="I21" s="3">
        <f>SUMIFS(Trade_Log!$I:$I, Trade_Log!$C:$C, "&lt;="&amp;A21, Trade_Log!$D:$D, "&gt;"&amp;A21)</f>
        <v>52431602.700000003</v>
      </c>
      <c r="J21" s="3">
        <f>SUMIFS(Trade_Log!$J:$J, Trade_Log!$C:$C, "&lt;="&amp;A21, Trade_Log!$D:$D, "&gt;"&amp;A21)</f>
        <v>10526460</v>
      </c>
      <c r="K21" s="3">
        <f t="shared" si="2"/>
        <v>37334768.906316765</v>
      </c>
      <c r="L21" s="3">
        <f t="shared" si="3"/>
        <v>100292831.60631678</v>
      </c>
    </row>
    <row r="22" spans="1:12" x14ac:dyDescent="0.3">
      <c r="A22" s="25">
        <v>45859</v>
      </c>
      <c r="B22" s="3">
        <f t="shared" si="4"/>
        <v>37334768.906316765</v>
      </c>
      <c r="C22" s="3">
        <f>SUMIF(Trade_Log!$C:$C, A22, Trade_Log!$I:$I)</f>
        <v>0</v>
      </c>
      <c r="D22" s="3">
        <f>SUMIF(Trade_Log!$C:$C, A22, Trade_Log!$J:$J)</f>
        <v>0</v>
      </c>
      <c r="E22" s="3">
        <f t="shared" si="0"/>
        <v>0</v>
      </c>
      <c r="F22" s="3">
        <f>SUMIF(Trade_Log!$D:$D, A22, Trade_Log!$L:$L)</f>
        <v>0</v>
      </c>
      <c r="G22" s="3">
        <f t="shared" si="1"/>
        <v>37334768.906316765</v>
      </c>
      <c r="H22" s="3">
        <f>G22*Assumptions!$B$5/365</f>
        <v>6137.2222859698795</v>
      </c>
      <c r="I22" s="3">
        <f>SUMIFS(Trade_Log!$I:$I, Trade_Log!$C:$C, "&lt;="&amp;A22, Trade_Log!$D:$D, "&gt;"&amp;A22)</f>
        <v>52431602.700000003</v>
      </c>
      <c r="J22" s="3">
        <f>SUMIFS(Trade_Log!$J:$J, Trade_Log!$C:$C, "&lt;="&amp;A22, Trade_Log!$D:$D, "&gt;"&amp;A22)</f>
        <v>10526460</v>
      </c>
      <c r="K22" s="3">
        <f t="shared" si="2"/>
        <v>37340906.128602736</v>
      </c>
      <c r="L22" s="3">
        <f t="shared" si="3"/>
        <v>100298968.82860273</v>
      </c>
    </row>
    <row r="23" spans="1:12" x14ac:dyDescent="0.3">
      <c r="A23" s="25">
        <v>45860</v>
      </c>
      <c r="B23" s="3">
        <f t="shared" si="4"/>
        <v>37340906.128602736</v>
      </c>
      <c r="C23" s="3">
        <f>SUMIF(Trade_Log!$C:$C, A23, Trade_Log!$I:$I)</f>
        <v>13428310.799999999</v>
      </c>
      <c r="D23" s="3">
        <f>SUMIF(Trade_Log!$C:$C, A23, Trade_Log!$J:$J)</f>
        <v>2692870</v>
      </c>
      <c r="E23" s="3">
        <f t="shared" si="0"/>
        <v>-16121180.799999999</v>
      </c>
      <c r="F23" s="3">
        <f>SUMIF(Trade_Log!$D:$D, A23, Trade_Log!$L:$L)</f>
        <v>0</v>
      </c>
      <c r="G23" s="3">
        <f t="shared" si="1"/>
        <v>21219725.328602739</v>
      </c>
      <c r="H23" s="3">
        <f>G23*Assumptions!$B$5/365</f>
        <v>3488.1740266196284</v>
      </c>
      <c r="I23" s="3">
        <f>SUMIFS(Trade_Log!$I:$I, Trade_Log!$C:$C, "&lt;="&amp;A23, Trade_Log!$D:$D, "&gt;"&amp;A23)</f>
        <v>65859913.5</v>
      </c>
      <c r="J23" s="3">
        <f>SUMIFS(Trade_Log!$J:$J, Trade_Log!$C:$C, "&lt;="&amp;A23, Trade_Log!$D:$D, "&gt;"&amp;A23)</f>
        <v>13219330</v>
      </c>
      <c r="K23" s="3">
        <f t="shared" si="2"/>
        <v>21223213.502629358</v>
      </c>
      <c r="L23" s="3">
        <f t="shared" si="3"/>
        <v>100302457.00262935</v>
      </c>
    </row>
    <row r="24" spans="1:12" x14ac:dyDescent="0.3">
      <c r="A24" s="25">
        <v>45861</v>
      </c>
      <c r="B24" s="3">
        <f t="shared" si="4"/>
        <v>21223213.502629358</v>
      </c>
      <c r="C24" s="3">
        <f>SUMIF(Trade_Log!$C:$C, A24, Trade_Log!$I:$I)</f>
        <v>7062679.5749999993</v>
      </c>
      <c r="D24" s="3">
        <f>SUMIF(Trade_Log!$C:$C, A24, Trade_Log!$J:$J)</f>
        <v>1415772.0000000002</v>
      </c>
      <c r="E24" s="3">
        <f t="shared" si="0"/>
        <v>-8478451.5749999993</v>
      </c>
      <c r="F24" s="3">
        <f>SUMIF(Trade_Log!$D:$D, A24, Trade_Log!$L:$L)</f>
        <v>0</v>
      </c>
      <c r="G24" s="3">
        <f t="shared" si="1"/>
        <v>12744761.927629359</v>
      </c>
      <c r="H24" s="3">
        <f>G24*Assumptions!$B$5/365</f>
        <v>2095.0293579664699</v>
      </c>
      <c r="I24" s="3">
        <f>SUMIFS(Trade_Log!$I:$I, Trade_Log!$C:$C, "&lt;="&amp;A24, Trade_Log!$D:$D, "&gt;"&amp;A24)</f>
        <v>72922593.075000003</v>
      </c>
      <c r="J24" s="3">
        <f>SUMIFS(Trade_Log!$J:$J, Trade_Log!$C:$C, "&lt;="&amp;A24, Trade_Log!$D:$D, "&gt;"&amp;A24)</f>
        <v>14635102</v>
      </c>
      <c r="K24" s="3">
        <f t="shared" si="2"/>
        <v>12746856.956987325</v>
      </c>
      <c r="L24" s="3">
        <f t="shared" si="3"/>
        <v>100304552.03198732</v>
      </c>
    </row>
    <row r="25" spans="1:12" x14ac:dyDescent="0.3">
      <c r="A25" s="25">
        <v>45862</v>
      </c>
      <c r="B25" s="3">
        <f t="shared" si="4"/>
        <v>12746856.956987325</v>
      </c>
      <c r="C25" s="3">
        <f>SUMIF(Trade_Log!$C:$C, A25, Trade_Log!$I:$I)</f>
        <v>4210804.3499999996</v>
      </c>
      <c r="D25" s="3">
        <f>SUMIF(Trade_Log!$C:$C, A25, Trade_Log!$J:$J)</f>
        <v>843960</v>
      </c>
      <c r="E25" s="3">
        <f t="shared" si="0"/>
        <v>-5054764.3499999996</v>
      </c>
      <c r="F25" s="3">
        <f>SUMIF(Trade_Log!$D:$D, A25, Trade_Log!$L:$L)</f>
        <v>0</v>
      </c>
      <c r="G25" s="3">
        <f t="shared" si="1"/>
        <v>7692092.6069873255</v>
      </c>
      <c r="H25" s="3">
        <f>G25*Assumptions!$B$5/365</f>
        <v>1264.4535792307931</v>
      </c>
      <c r="I25" s="3">
        <f>SUMIFS(Trade_Log!$I:$I, Trade_Log!$C:$C, "&lt;="&amp;A25, Trade_Log!$D:$D, "&gt;"&amp;A25)</f>
        <v>77133397.424999997</v>
      </c>
      <c r="J25" s="3">
        <f>SUMIFS(Trade_Log!$J:$J, Trade_Log!$C:$C, "&lt;="&amp;A25, Trade_Log!$D:$D, "&gt;"&amp;A25)</f>
        <v>15479062</v>
      </c>
      <c r="K25" s="3">
        <f t="shared" si="2"/>
        <v>7693357.0605665566</v>
      </c>
      <c r="L25" s="3">
        <f t="shared" si="3"/>
        <v>100305816.48556656</v>
      </c>
    </row>
    <row r="26" spans="1:12" x14ac:dyDescent="0.3">
      <c r="A26" s="25">
        <v>45863</v>
      </c>
      <c r="B26" s="3">
        <f t="shared" si="4"/>
        <v>7693357.0605665566</v>
      </c>
      <c r="C26" s="3">
        <f>SUMIF(Trade_Log!$C:$C, A26, Trade_Log!$I:$I)</f>
        <v>0</v>
      </c>
      <c r="D26" s="3">
        <f>SUMIF(Trade_Log!$C:$C, A26, Trade_Log!$J:$J)</f>
        <v>0</v>
      </c>
      <c r="E26" s="3">
        <f t="shared" si="0"/>
        <v>0</v>
      </c>
      <c r="F26" s="3">
        <f>SUMIF(Trade_Log!$D:$D, A26, Trade_Log!$L:$L)</f>
        <v>0</v>
      </c>
      <c r="G26" s="3">
        <f t="shared" si="1"/>
        <v>7693357.0605665566</v>
      </c>
      <c r="H26" s="3">
        <f>G26*Assumptions!$B$5/365</f>
        <v>1264.6614346136805</v>
      </c>
      <c r="I26" s="3">
        <f>SUMIFS(Trade_Log!$I:$I, Trade_Log!$C:$C, "&lt;="&amp;A26, Trade_Log!$D:$D, "&gt;"&amp;A26)</f>
        <v>77133397.424999997</v>
      </c>
      <c r="J26" s="3">
        <f>SUMIFS(Trade_Log!$J:$J, Trade_Log!$C:$C, "&lt;="&amp;A26, Trade_Log!$D:$D, "&gt;"&amp;A26)</f>
        <v>15479062</v>
      </c>
      <c r="K26" s="3">
        <f t="shared" si="2"/>
        <v>7694621.7220011707</v>
      </c>
      <c r="L26" s="3">
        <f t="shared" si="3"/>
        <v>100307081.14700116</v>
      </c>
    </row>
    <row r="27" spans="1:12" x14ac:dyDescent="0.3">
      <c r="A27" s="25">
        <v>45864</v>
      </c>
      <c r="B27" s="3">
        <f t="shared" si="4"/>
        <v>7694621.7220011707</v>
      </c>
      <c r="C27" s="3">
        <f>SUMIF(Trade_Log!$C:$C, A27, Trade_Log!$I:$I)</f>
        <v>0</v>
      </c>
      <c r="D27" s="3">
        <f>SUMIF(Trade_Log!$C:$C, A27, Trade_Log!$J:$J)</f>
        <v>0</v>
      </c>
      <c r="E27" s="3">
        <f t="shared" si="0"/>
        <v>0</v>
      </c>
      <c r="F27" s="3">
        <f>SUMIF(Trade_Log!$D:$D, A27, Trade_Log!$L:$L)</f>
        <v>0</v>
      </c>
      <c r="G27" s="3">
        <f t="shared" si="1"/>
        <v>7694621.7220011707</v>
      </c>
      <c r="H27" s="3">
        <f>G27*Assumptions!$B$5/365</f>
        <v>1264.8693241645758</v>
      </c>
      <c r="I27" s="3">
        <f>SUMIFS(Trade_Log!$I:$I, Trade_Log!$C:$C, "&lt;="&amp;A27, Trade_Log!$D:$D, "&gt;"&amp;A27)</f>
        <v>77133397.424999997</v>
      </c>
      <c r="J27" s="3">
        <f>SUMIFS(Trade_Log!$J:$J, Trade_Log!$C:$C, "&lt;="&amp;A27, Trade_Log!$D:$D, "&gt;"&amp;A27)</f>
        <v>15479062</v>
      </c>
      <c r="K27" s="3">
        <f t="shared" si="2"/>
        <v>7695886.5913253352</v>
      </c>
      <c r="L27" s="3">
        <f t="shared" si="3"/>
        <v>100308346.01632532</v>
      </c>
    </row>
    <row r="28" spans="1:12" x14ac:dyDescent="0.3">
      <c r="A28" s="25">
        <v>45865</v>
      </c>
      <c r="B28" s="3">
        <f t="shared" si="4"/>
        <v>7695886.5913253352</v>
      </c>
      <c r="C28" s="3">
        <f>SUMIF(Trade_Log!$C:$C, A28, Trade_Log!$I:$I)</f>
        <v>0</v>
      </c>
      <c r="D28" s="3">
        <f>SUMIF(Trade_Log!$C:$C, A28, Trade_Log!$J:$J)</f>
        <v>0</v>
      </c>
      <c r="E28" s="3">
        <f t="shared" si="0"/>
        <v>0</v>
      </c>
      <c r="F28" s="3">
        <f>SUMIF(Trade_Log!$D:$D, A28, Trade_Log!$L:$L)</f>
        <v>0</v>
      </c>
      <c r="G28" s="3">
        <f t="shared" si="1"/>
        <v>7695886.5913253352</v>
      </c>
      <c r="H28" s="3">
        <f>G28*Assumptions!$B$5/365</f>
        <v>1265.077247889096</v>
      </c>
      <c r="I28" s="3">
        <f>SUMIFS(Trade_Log!$I:$I, Trade_Log!$C:$C, "&lt;="&amp;A28, Trade_Log!$D:$D, "&gt;"&amp;A28)</f>
        <v>77133397.424999997</v>
      </c>
      <c r="J28" s="3">
        <f>SUMIFS(Trade_Log!$J:$J, Trade_Log!$C:$C, "&lt;="&amp;A28, Trade_Log!$D:$D, "&gt;"&amp;A28)</f>
        <v>15479062</v>
      </c>
      <c r="K28" s="3">
        <f t="shared" si="2"/>
        <v>7697151.668573224</v>
      </c>
      <c r="L28" s="3">
        <f t="shared" si="3"/>
        <v>100309611.09357323</v>
      </c>
    </row>
    <row r="29" spans="1:12" x14ac:dyDescent="0.3">
      <c r="A29" s="25">
        <v>45866</v>
      </c>
      <c r="B29" s="3">
        <f t="shared" si="4"/>
        <v>7697151.668573224</v>
      </c>
      <c r="C29" s="3">
        <f>SUMIF(Trade_Log!$C:$C, A29, Trade_Log!$I:$I)</f>
        <v>0</v>
      </c>
      <c r="D29" s="3">
        <f>SUMIF(Trade_Log!$C:$C, A29, Trade_Log!$J:$J)</f>
        <v>0</v>
      </c>
      <c r="E29" s="3">
        <f t="shared" si="0"/>
        <v>0</v>
      </c>
      <c r="F29" s="3">
        <f>SUMIF(Trade_Log!$D:$D, A29, Trade_Log!$L:$L)</f>
        <v>0</v>
      </c>
      <c r="G29" s="3">
        <f t="shared" si="1"/>
        <v>7697151.668573224</v>
      </c>
      <c r="H29" s="3">
        <f>G29*Assumptions!$B$5/365</f>
        <v>1265.2852057928587</v>
      </c>
      <c r="I29" s="3">
        <f>SUMIFS(Trade_Log!$I:$I, Trade_Log!$C:$C, "&lt;="&amp;A29, Trade_Log!$D:$D, "&gt;"&amp;A29)</f>
        <v>77133397.424999997</v>
      </c>
      <c r="J29" s="3">
        <f>SUMIFS(Trade_Log!$J:$J, Trade_Log!$C:$C, "&lt;="&amp;A29, Trade_Log!$D:$D, "&gt;"&amp;A29)</f>
        <v>15479062</v>
      </c>
      <c r="K29" s="3">
        <f t="shared" si="2"/>
        <v>7698416.9537790166</v>
      </c>
      <c r="L29" s="3">
        <f t="shared" si="3"/>
        <v>100310876.37877901</v>
      </c>
    </row>
    <row r="30" spans="1:12" x14ac:dyDescent="0.3">
      <c r="A30" s="25">
        <v>45867</v>
      </c>
      <c r="B30" s="3">
        <f t="shared" si="4"/>
        <v>7698416.9537790166</v>
      </c>
      <c r="C30" s="3">
        <f>SUMIF(Trade_Log!$C:$C, A30, Trade_Log!$I:$I)</f>
        <v>2294256.5549999997</v>
      </c>
      <c r="D30" s="3">
        <f>SUMIF(Trade_Log!$C:$C, A30, Trade_Log!$J:$J)</f>
        <v>459432</v>
      </c>
      <c r="E30" s="3">
        <f t="shared" si="0"/>
        <v>-2753688.5549999997</v>
      </c>
      <c r="F30" s="3">
        <f>SUMIF(Trade_Log!$D:$D, A30, Trade_Log!$L:$L)</f>
        <v>0</v>
      </c>
      <c r="G30" s="3">
        <f t="shared" si="1"/>
        <v>4944728.3987790169</v>
      </c>
      <c r="H30" s="3">
        <f>G30*Assumptions!$B$5/365</f>
        <v>812.83206555271511</v>
      </c>
      <c r="I30" s="3">
        <f>SUMIFS(Trade_Log!$I:$I, Trade_Log!$C:$C, "&lt;="&amp;A30, Trade_Log!$D:$D, "&gt;"&amp;A30)</f>
        <v>79427653.979999989</v>
      </c>
      <c r="J30" s="3">
        <f>SUMIFS(Trade_Log!$J:$J, Trade_Log!$C:$C, "&lt;="&amp;A30, Trade_Log!$D:$D, "&gt;"&amp;A30)</f>
        <v>15938494</v>
      </c>
      <c r="K30" s="3">
        <f t="shared" si="2"/>
        <v>4945541.2308445694</v>
      </c>
      <c r="L30" s="3">
        <f t="shared" si="3"/>
        <v>100311689.21084456</v>
      </c>
    </row>
    <row r="31" spans="1:12" x14ac:dyDescent="0.3">
      <c r="A31" s="25">
        <v>45868</v>
      </c>
      <c r="B31" s="3">
        <f t="shared" si="4"/>
        <v>4945541.2308445694</v>
      </c>
      <c r="C31" s="3">
        <f>SUMIF(Trade_Log!$C:$C, A31, Trade_Log!$I:$I)</f>
        <v>0</v>
      </c>
      <c r="D31" s="3">
        <f>SUMIF(Trade_Log!$C:$C, A31, Trade_Log!$J:$J)</f>
        <v>0</v>
      </c>
      <c r="E31" s="3">
        <f t="shared" si="0"/>
        <v>0</v>
      </c>
      <c r="F31" s="3">
        <f>SUMIF(Trade_Log!$D:$D, A31, Trade_Log!$L:$L)</f>
        <v>0</v>
      </c>
      <c r="G31" s="3">
        <f t="shared" si="1"/>
        <v>4945541.2308445694</v>
      </c>
      <c r="H31" s="3">
        <f>G31*Assumptions!$B$5/365</f>
        <v>812.96568178266898</v>
      </c>
      <c r="I31" s="3">
        <f>SUMIFS(Trade_Log!$I:$I, Trade_Log!$C:$C, "&lt;="&amp;A31, Trade_Log!$D:$D, "&gt;"&amp;A31)</f>
        <v>79427653.979999989</v>
      </c>
      <c r="J31" s="3">
        <f>SUMIFS(Trade_Log!$J:$J, Trade_Log!$C:$C, "&lt;="&amp;A31, Trade_Log!$D:$D, "&gt;"&amp;A31)</f>
        <v>15938494</v>
      </c>
      <c r="K31" s="3">
        <f t="shared" si="2"/>
        <v>4946354.1965263523</v>
      </c>
      <c r="L31" s="3">
        <f t="shared" si="3"/>
        <v>100312502.17652634</v>
      </c>
    </row>
    <row r="32" spans="1:12" x14ac:dyDescent="0.3">
      <c r="A32" s="25">
        <v>45869</v>
      </c>
      <c r="B32" s="3">
        <f t="shared" si="4"/>
        <v>4946354.1965263523</v>
      </c>
      <c r="C32" s="3">
        <f>SUMIF(Trade_Log!$C:$C, A32, Trade_Log!$I:$I)</f>
        <v>0</v>
      </c>
      <c r="D32" s="3">
        <f>SUMIF(Trade_Log!$C:$C, A32, Trade_Log!$J:$J)</f>
        <v>0</v>
      </c>
      <c r="E32" s="3">
        <f t="shared" si="0"/>
        <v>0</v>
      </c>
      <c r="F32" s="3">
        <f>SUMIF(Trade_Log!$D:$D, A32, Trade_Log!$L:$L)</f>
        <v>95592381.469999999</v>
      </c>
      <c r="G32" s="3">
        <f t="shared" si="1"/>
        <v>100538735.66652635</v>
      </c>
      <c r="H32" s="3">
        <f>G32*Assumptions!$B$5/365</f>
        <v>16526.915452031728</v>
      </c>
      <c r="I32" s="3">
        <f>SUMIFS(Trade_Log!$I:$I, Trade_Log!$C:$C, "&lt;="&amp;A32, Trade_Log!$D:$D, "&gt;"&amp;A32)</f>
        <v>0</v>
      </c>
      <c r="J32" s="3">
        <f>SUMIFS(Trade_Log!$J:$J, Trade_Log!$C:$C, "&lt;="&amp;A32, Trade_Log!$D:$D, "&gt;"&amp;A32)</f>
        <v>0</v>
      </c>
      <c r="K32" s="3">
        <f t="shared" si="2"/>
        <v>100555262.58197838</v>
      </c>
      <c r="L32" s="3">
        <f t="shared" si="3"/>
        <v>100555262.58197838</v>
      </c>
    </row>
    <row r="33" spans="1:12" x14ac:dyDescent="0.3">
      <c r="A33" s="25">
        <v>45870</v>
      </c>
      <c r="B33" s="3">
        <f t="shared" si="4"/>
        <v>100555262.58197838</v>
      </c>
      <c r="C33" s="3">
        <f>SUMIF(Trade_Log!$C:$C, A33, Trade_Log!$I:$I)</f>
        <v>0</v>
      </c>
      <c r="D33" s="3">
        <f>SUMIF(Trade_Log!$C:$C, A33, Trade_Log!$J:$J)</f>
        <v>0</v>
      </c>
      <c r="E33" s="3">
        <f t="shared" si="0"/>
        <v>0</v>
      </c>
      <c r="F33" s="3">
        <f>SUMIF(Trade_Log!$D:$D, A33, Trade_Log!$L:$L)</f>
        <v>0</v>
      </c>
      <c r="G33" s="3">
        <f t="shared" si="1"/>
        <v>100555262.58197838</v>
      </c>
      <c r="H33" s="3">
        <f>G33*Assumptions!$B$5/365</f>
        <v>16529.632205256719</v>
      </c>
      <c r="I33" s="3">
        <f>SUMIFS(Trade_Log!$I:$I, Trade_Log!$C:$C, "&lt;="&amp;A33, Trade_Log!$D:$D, "&gt;"&amp;A33)</f>
        <v>0</v>
      </c>
      <c r="J33" s="3">
        <f>SUMIFS(Trade_Log!$J:$J, Trade_Log!$C:$C, "&lt;="&amp;A33, Trade_Log!$D:$D, "&gt;"&amp;A33)</f>
        <v>0</v>
      </c>
      <c r="K33" s="3">
        <f t="shared" si="2"/>
        <v>100571792.21418364</v>
      </c>
      <c r="L33" s="3">
        <f t="shared" si="3"/>
        <v>100571792.21418364</v>
      </c>
    </row>
    <row r="34" spans="1:12" x14ac:dyDescent="0.3">
      <c r="A34" s="25">
        <v>45871</v>
      </c>
      <c r="B34" s="3">
        <f t="shared" si="4"/>
        <v>100571792.21418364</v>
      </c>
      <c r="C34" s="3">
        <f>SUMIF(Trade_Log!$C:$C, A34, Trade_Log!$I:$I)</f>
        <v>0</v>
      </c>
      <c r="D34" s="3">
        <f>SUMIF(Trade_Log!$C:$C, A34, Trade_Log!$J:$J)</f>
        <v>0</v>
      </c>
      <c r="E34" s="3">
        <f t="shared" si="0"/>
        <v>0</v>
      </c>
      <c r="F34" s="3">
        <f>SUMIF(Trade_Log!$D:$D, A34, Trade_Log!$L:$L)</f>
        <v>0</v>
      </c>
      <c r="G34" s="3">
        <f t="shared" si="1"/>
        <v>100571792.21418364</v>
      </c>
      <c r="H34" s="3">
        <f>G34*Assumptions!$B$5/365</f>
        <v>16532.349405071283</v>
      </c>
      <c r="I34" s="3">
        <f>SUMIFS(Trade_Log!$I:$I, Trade_Log!$C:$C, "&lt;="&amp;A34, Trade_Log!$D:$D, "&gt;"&amp;A34)</f>
        <v>0</v>
      </c>
      <c r="J34" s="3">
        <f>SUMIFS(Trade_Log!$J:$J, Trade_Log!$C:$C, "&lt;="&amp;A34, Trade_Log!$D:$D, "&gt;"&amp;A34)</f>
        <v>0</v>
      </c>
      <c r="K34" s="3">
        <f t="shared" si="2"/>
        <v>100588324.56358871</v>
      </c>
      <c r="L34" s="3">
        <f t="shared" si="3"/>
        <v>100588324.56358871</v>
      </c>
    </row>
    <row r="35" spans="1:12" x14ac:dyDescent="0.3">
      <c r="A35" s="25">
        <v>45872</v>
      </c>
      <c r="B35" s="3">
        <f t="shared" si="4"/>
        <v>100588324.56358871</v>
      </c>
      <c r="C35" s="3">
        <f>SUMIF(Trade_Log!$C:$C, A35, Trade_Log!$I:$I)</f>
        <v>0</v>
      </c>
      <c r="D35" s="3">
        <f>SUMIF(Trade_Log!$C:$C, A35, Trade_Log!$J:$J)</f>
        <v>0</v>
      </c>
      <c r="E35" s="3">
        <f t="shared" si="0"/>
        <v>0</v>
      </c>
      <c r="F35" s="3">
        <f>SUMIF(Trade_Log!$D:$D, A35, Trade_Log!$L:$L)</f>
        <v>0</v>
      </c>
      <c r="G35" s="3">
        <f t="shared" si="1"/>
        <v>100588324.56358871</v>
      </c>
      <c r="H35" s="3">
        <f>G35*Assumptions!$B$5/365</f>
        <v>16535.067051548827</v>
      </c>
      <c r="I35" s="3">
        <f>SUMIFS(Trade_Log!$I:$I, Trade_Log!$C:$C, "&lt;="&amp;A35, Trade_Log!$D:$D, "&gt;"&amp;A35)</f>
        <v>0</v>
      </c>
      <c r="J35" s="3">
        <f>SUMIFS(Trade_Log!$J:$J, Trade_Log!$C:$C, "&lt;="&amp;A35, Trade_Log!$D:$D, "&gt;"&amp;A35)</f>
        <v>0</v>
      </c>
      <c r="K35" s="3">
        <f t="shared" si="2"/>
        <v>100604859.63064025</v>
      </c>
      <c r="L35" s="3">
        <f t="shared" si="3"/>
        <v>100604859.63064025</v>
      </c>
    </row>
    <row r="36" spans="1:12" x14ac:dyDescent="0.3">
      <c r="A36" s="25">
        <v>45873</v>
      </c>
      <c r="B36" s="3">
        <f t="shared" si="4"/>
        <v>100604859.63064025</v>
      </c>
      <c r="C36" s="3">
        <f>SUMIF(Trade_Log!$C:$C, A36, Trade_Log!$I:$I)</f>
        <v>0</v>
      </c>
      <c r="D36" s="3">
        <f>SUMIF(Trade_Log!$C:$C, A36, Trade_Log!$J:$J)</f>
        <v>0</v>
      </c>
      <c r="E36" s="3">
        <f t="shared" si="0"/>
        <v>0</v>
      </c>
      <c r="F36" s="3">
        <f>SUMIF(Trade_Log!$D:$D, A36, Trade_Log!$L:$L)</f>
        <v>0</v>
      </c>
      <c r="G36" s="3">
        <f t="shared" si="1"/>
        <v>100604859.63064025</v>
      </c>
      <c r="H36" s="3">
        <f>G36*Assumptions!$B$5/365</f>
        <v>16537.78514476278</v>
      </c>
      <c r="I36" s="3">
        <f>SUMIFS(Trade_Log!$I:$I, Trade_Log!$C:$C, "&lt;="&amp;A36, Trade_Log!$D:$D, "&gt;"&amp;A36)</f>
        <v>0</v>
      </c>
      <c r="J36" s="3">
        <f>SUMIFS(Trade_Log!$J:$J, Trade_Log!$C:$C, "&lt;="&amp;A36, Trade_Log!$D:$D, "&gt;"&amp;A36)</f>
        <v>0</v>
      </c>
      <c r="K36" s="3">
        <f t="shared" si="2"/>
        <v>100621397.41578501</v>
      </c>
      <c r="L36" s="3">
        <f t="shared" si="3"/>
        <v>100621397.41578501</v>
      </c>
    </row>
    <row r="37" spans="1:12" x14ac:dyDescent="0.3">
      <c r="A37" s="25">
        <v>45874</v>
      </c>
      <c r="B37" s="3">
        <f t="shared" si="4"/>
        <v>100621397.41578501</v>
      </c>
      <c r="C37" s="3">
        <f>SUMIF(Trade_Log!$C:$C, A37, Trade_Log!$I:$I)</f>
        <v>0</v>
      </c>
      <c r="D37" s="3">
        <f>SUMIF(Trade_Log!$C:$C, A37, Trade_Log!$J:$J)</f>
        <v>0</v>
      </c>
      <c r="E37" s="3">
        <f t="shared" si="0"/>
        <v>0</v>
      </c>
      <c r="F37" s="3">
        <f>SUMIF(Trade_Log!$D:$D, A37, Trade_Log!$L:$L)</f>
        <v>0</v>
      </c>
      <c r="G37" s="3">
        <f t="shared" si="1"/>
        <v>100621397.41578501</v>
      </c>
      <c r="H37" s="3">
        <f>G37*Assumptions!$B$5/365</f>
        <v>16540.503684786578</v>
      </c>
      <c r="I37" s="3">
        <f>SUMIFS(Trade_Log!$I:$I, Trade_Log!$C:$C, "&lt;="&amp;A37, Trade_Log!$D:$D, "&gt;"&amp;A37)</f>
        <v>0</v>
      </c>
      <c r="J37" s="3">
        <f>SUMIFS(Trade_Log!$J:$J, Trade_Log!$C:$C, "&lt;="&amp;A37, Trade_Log!$D:$D, "&gt;"&amp;A37)</f>
        <v>0</v>
      </c>
      <c r="K37" s="3">
        <f t="shared" si="2"/>
        <v>100637937.9194698</v>
      </c>
      <c r="L37" s="3">
        <f t="shared" si="3"/>
        <v>100637937.9194698</v>
      </c>
    </row>
    <row r="38" spans="1:12" x14ac:dyDescent="0.3">
      <c r="A38" s="25">
        <v>45875</v>
      </c>
      <c r="B38" s="3">
        <f t="shared" si="4"/>
        <v>100637937.9194698</v>
      </c>
      <c r="C38" s="3">
        <f>SUMIF(Trade_Log!$C:$C, A38, Trade_Log!$I:$I)</f>
        <v>0</v>
      </c>
      <c r="D38" s="3">
        <f>SUMIF(Trade_Log!$C:$C, A38, Trade_Log!$J:$J)</f>
        <v>0</v>
      </c>
      <c r="E38" s="3">
        <f t="shared" si="0"/>
        <v>0</v>
      </c>
      <c r="F38" s="3">
        <f>SUMIF(Trade_Log!$D:$D, A38, Trade_Log!$L:$L)</f>
        <v>0</v>
      </c>
      <c r="G38" s="3">
        <f t="shared" si="1"/>
        <v>100637937.9194698</v>
      </c>
      <c r="H38" s="3">
        <f>G38*Assumptions!$B$5/365</f>
        <v>16543.222671693664</v>
      </c>
      <c r="I38" s="3">
        <f>SUMIFS(Trade_Log!$I:$I, Trade_Log!$C:$C, "&lt;="&amp;A38, Trade_Log!$D:$D, "&gt;"&amp;A38)</f>
        <v>0</v>
      </c>
      <c r="J38" s="3">
        <f>SUMIFS(Trade_Log!$J:$J, Trade_Log!$C:$C, "&lt;="&amp;A38, Trade_Log!$D:$D, "&gt;"&amp;A38)</f>
        <v>0</v>
      </c>
      <c r="K38" s="3">
        <f t="shared" si="2"/>
        <v>100654481.14214149</v>
      </c>
      <c r="L38" s="3">
        <f t="shared" si="3"/>
        <v>100654481.14214149</v>
      </c>
    </row>
    <row r="39" spans="1:12" x14ac:dyDescent="0.3">
      <c r="A39" s="25">
        <v>45876</v>
      </c>
      <c r="B39" s="3">
        <f t="shared" si="4"/>
        <v>100654481.14214149</v>
      </c>
      <c r="C39" s="3">
        <f>SUMIF(Trade_Log!$C:$C, A39, Trade_Log!$I:$I)</f>
        <v>0</v>
      </c>
      <c r="D39" s="3">
        <f>SUMIF(Trade_Log!$C:$C, A39, Trade_Log!$J:$J)</f>
        <v>0</v>
      </c>
      <c r="E39" s="3">
        <f t="shared" si="0"/>
        <v>0</v>
      </c>
      <c r="F39" s="3">
        <f>SUMIF(Trade_Log!$D:$D, A39, Trade_Log!$L:$L)</f>
        <v>0</v>
      </c>
      <c r="G39" s="3">
        <f t="shared" si="1"/>
        <v>100654481.14214149</v>
      </c>
      <c r="H39" s="3">
        <f>G39*Assumptions!$B$5/365</f>
        <v>16545.942105557504</v>
      </c>
      <c r="I39" s="3">
        <f>SUMIFS(Trade_Log!$I:$I, Trade_Log!$C:$C, "&lt;="&amp;A39, Trade_Log!$D:$D, "&gt;"&amp;A39)</f>
        <v>0</v>
      </c>
      <c r="J39" s="3">
        <f>SUMIFS(Trade_Log!$J:$J, Trade_Log!$C:$C, "&lt;="&amp;A39, Trade_Log!$D:$D, "&gt;"&amp;A39)</f>
        <v>0</v>
      </c>
      <c r="K39" s="3">
        <f t="shared" si="2"/>
        <v>100671027.08424705</v>
      </c>
      <c r="L39" s="3">
        <f t="shared" si="3"/>
        <v>100671027.08424705</v>
      </c>
    </row>
    <row r="40" spans="1:12" x14ac:dyDescent="0.3">
      <c r="A40" s="25">
        <v>45877</v>
      </c>
      <c r="B40" s="3">
        <f t="shared" si="4"/>
        <v>100671027.08424705</v>
      </c>
      <c r="C40" s="3">
        <f>SUMIF(Trade_Log!$C:$C, A40, Trade_Log!$I:$I)</f>
        <v>0</v>
      </c>
      <c r="D40" s="3">
        <f>SUMIF(Trade_Log!$C:$C, A40, Trade_Log!$J:$J)</f>
        <v>0</v>
      </c>
      <c r="E40" s="3">
        <f t="shared" si="0"/>
        <v>0</v>
      </c>
      <c r="F40" s="3">
        <f>SUMIF(Trade_Log!$D:$D, A40, Trade_Log!$L:$L)</f>
        <v>0</v>
      </c>
      <c r="G40" s="3">
        <f t="shared" si="1"/>
        <v>100671027.08424705</v>
      </c>
      <c r="H40" s="3">
        <f>G40*Assumptions!$B$5/365</f>
        <v>16548.661986451571</v>
      </c>
      <c r="I40" s="3">
        <f>SUMIFS(Trade_Log!$I:$I, Trade_Log!$C:$C, "&lt;="&amp;A40, Trade_Log!$D:$D, "&gt;"&amp;A40)</f>
        <v>0</v>
      </c>
      <c r="J40" s="3">
        <f>SUMIFS(Trade_Log!$J:$J, Trade_Log!$C:$C, "&lt;="&amp;A40, Trade_Log!$D:$D, "&gt;"&amp;A40)</f>
        <v>0</v>
      </c>
      <c r="K40" s="3">
        <f t="shared" si="2"/>
        <v>100687575.74623351</v>
      </c>
      <c r="L40" s="3">
        <f t="shared" si="3"/>
        <v>100687575.74623351</v>
      </c>
    </row>
    <row r="41" spans="1:12" x14ac:dyDescent="0.3">
      <c r="A41" s="25">
        <v>45878</v>
      </c>
      <c r="B41" s="3">
        <f t="shared" si="4"/>
        <v>100687575.74623351</v>
      </c>
      <c r="C41" s="3">
        <f>SUMIF(Trade_Log!$C:$C, A41, Trade_Log!$I:$I)</f>
        <v>0</v>
      </c>
      <c r="D41" s="3">
        <f>SUMIF(Trade_Log!$C:$C, A41, Trade_Log!$J:$J)</f>
        <v>0</v>
      </c>
      <c r="E41" s="3">
        <f t="shared" si="0"/>
        <v>0</v>
      </c>
      <c r="F41" s="3">
        <f>SUMIF(Trade_Log!$D:$D, A41, Trade_Log!$L:$L)</f>
        <v>0</v>
      </c>
      <c r="G41" s="3">
        <f t="shared" si="1"/>
        <v>100687575.74623351</v>
      </c>
      <c r="H41" s="3">
        <f>G41*Assumptions!$B$5/365</f>
        <v>16551.382314449344</v>
      </c>
      <c r="I41" s="3">
        <f>SUMIFS(Trade_Log!$I:$I, Trade_Log!$C:$C, "&lt;="&amp;A41, Trade_Log!$D:$D, "&gt;"&amp;A41)</f>
        <v>0</v>
      </c>
      <c r="J41" s="3">
        <f>SUMIFS(Trade_Log!$J:$J, Trade_Log!$C:$C, "&lt;="&amp;A41, Trade_Log!$D:$D, "&gt;"&amp;A41)</f>
        <v>0</v>
      </c>
      <c r="K41" s="3">
        <f t="shared" si="2"/>
        <v>100704127.12854795</v>
      </c>
      <c r="L41" s="3">
        <f t="shared" si="3"/>
        <v>100704127.12854795</v>
      </c>
    </row>
    <row r="42" spans="1:12" x14ac:dyDescent="0.3">
      <c r="A42" s="25">
        <v>45879</v>
      </c>
      <c r="B42" s="3">
        <f t="shared" si="4"/>
        <v>100704127.12854795</v>
      </c>
      <c r="C42" s="3">
        <f>SUMIF(Trade_Log!$C:$C, A42, Trade_Log!$I:$I)</f>
        <v>0</v>
      </c>
      <c r="D42" s="3">
        <f>SUMIF(Trade_Log!$C:$C, A42, Trade_Log!$J:$J)</f>
        <v>0</v>
      </c>
      <c r="E42" s="3">
        <f t="shared" si="0"/>
        <v>0</v>
      </c>
      <c r="F42" s="3">
        <f>SUMIF(Trade_Log!$D:$D, A42, Trade_Log!$L:$L)</f>
        <v>0</v>
      </c>
      <c r="G42" s="3">
        <f t="shared" si="1"/>
        <v>100704127.12854795</v>
      </c>
      <c r="H42" s="3">
        <f>G42*Assumptions!$B$5/365</f>
        <v>16554.103089624321</v>
      </c>
      <c r="I42" s="3">
        <f>SUMIFS(Trade_Log!$I:$I, Trade_Log!$C:$C, "&lt;="&amp;A42, Trade_Log!$D:$D, "&gt;"&amp;A42)</f>
        <v>0</v>
      </c>
      <c r="J42" s="3">
        <f>SUMIFS(Trade_Log!$J:$J, Trade_Log!$C:$C, "&lt;="&amp;A42, Trade_Log!$D:$D, "&gt;"&amp;A42)</f>
        <v>0</v>
      </c>
      <c r="K42" s="3">
        <f t="shared" si="2"/>
        <v>100720681.23163758</v>
      </c>
      <c r="L42" s="3">
        <f t="shared" si="3"/>
        <v>100720681.23163758</v>
      </c>
    </row>
    <row r="43" spans="1:12" x14ac:dyDescent="0.3">
      <c r="A43" s="25">
        <v>45880</v>
      </c>
      <c r="B43" s="3">
        <f t="shared" si="4"/>
        <v>100720681.23163758</v>
      </c>
      <c r="C43" s="3">
        <f>SUMIF(Trade_Log!$C:$C, A43, Trade_Log!$I:$I)</f>
        <v>0</v>
      </c>
      <c r="D43" s="3">
        <f>SUMIF(Trade_Log!$C:$C, A43, Trade_Log!$J:$J)</f>
        <v>0</v>
      </c>
      <c r="E43" s="3">
        <f t="shared" si="0"/>
        <v>0</v>
      </c>
      <c r="F43" s="3">
        <f>SUMIF(Trade_Log!$D:$D, A43, Trade_Log!$L:$L)</f>
        <v>0</v>
      </c>
      <c r="G43" s="3">
        <f t="shared" si="1"/>
        <v>100720681.23163758</v>
      </c>
      <c r="H43" s="3">
        <f>G43*Assumptions!$B$5/365</f>
        <v>16556.824312050012</v>
      </c>
      <c r="I43" s="3">
        <f>SUMIFS(Trade_Log!$I:$I, Trade_Log!$C:$C, "&lt;="&amp;A43, Trade_Log!$D:$D, "&gt;"&amp;A43)</f>
        <v>0</v>
      </c>
      <c r="J43" s="3">
        <f>SUMIFS(Trade_Log!$J:$J, Trade_Log!$C:$C, "&lt;="&amp;A43, Trade_Log!$D:$D, "&gt;"&amp;A43)</f>
        <v>0</v>
      </c>
      <c r="K43" s="3">
        <f t="shared" si="2"/>
        <v>100737238.05594963</v>
      </c>
      <c r="L43" s="3">
        <f t="shared" si="3"/>
        <v>100737238.05594963</v>
      </c>
    </row>
    <row r="44" spans="1:12" x14ac:dyDescent="0.3">
      <c r="A44" s="25">
        <v>45881</v>
      </c>
      <c r="B44" s="3">
        <f t="shared" si="4"/>
        <v>100737238.05594963</v>
      </c>
      <c r="C44" s="3">
        <f>SUMIF(Trade_Log!$C:$C, A44, Trade_Log!$I:$I)</f>
        <v>0</v>
      </c>
      <c r="D44" s="3">
        <f>SUMIF(Trade_Log!$C:$C, A44, Trade_Log!$J:$J)</f>
        <v>0</v>
      </c>
      <c r="E44" s="3">
        <f t="shared" si="0"/>
        <v>0</v>
      </c>
      <c r="F44" s="3">
        <f>SUMIF(Trade_Log!$D:$D, A44, Trade_Log!$L:$L)</f>
        <v>0</v>
      </c>
      <c r="G44" s="3">
        <f t="shared" si="1"/>
        <v>100737238.05594963</v>
      </c>
      <c r="H44" s="3">
        <f>G44*Assumptions!$B$5/365</f>
        <v>16559.54598179994</v>
      </c>
      <c r="I44" s="3">
        <f>SUMIFS(Trade_Log!$I:$I, Trade_Log!$C:$C, "&lt;="&amp;A44, Trade_Log!$D:$D, "&gt;"&amp;A44)</f>
        <v>0</v>
      </c>
      <c r="J44" s="3">
        <f>SUMIFS(Trade_Log!$J:$J, Trade_Log!$C:$C, "&lt;="&amp;A44, Trade_Log!$D:$D, "&gt;"&amp;A44)</f>
        <v>0</v>
      </c>
      <c r="K44" s="3">
        <f t="shared" si="2"/>
        <v>100753797.60193142</v>
      </c>
      <c r="L44" s="3">
        <f t="shared" si="3"/>
        <v>100753797.60193142</v>
      </c>
    </row>
    <row r="45" spans="1:12" x14ac:dyDescent="0.3">
      <c r="A45" s="25">
        <v>45882</v>
      </c>
      <c r="B45" s="3">
        <f t="shared" si="4"/>
        <v>100753797.60193142</v>
      </c>
      <c r="C45" s="3">
        <f>SUMIF(Trade_Log!$C:$C, A45, Trade_Log!$I:$I)</f>
        <v>0</v>
      </c>
      <c r="D45" s="3">
        <f>SUMIF(Trade_Log!$C:$C, A45, Trade_Log!$J:$J)</f>
        <v>0</v>
      </c>
      <c r="E45" s="3">
        <f t="shared" si="0"/>
        <v>0</v>
      </c>
      <c r="F45" s="3">
        <f>SUMIF(Trade_Log!$D:$D, A45, Trade_Log!$L:$L)</f>
        <v>0</v>
      </c>
      <c r="G45" s="3">
        <f t="shared" si="1"/>
        <v>100753797.60193142</v>
      </c>
      <c r="H45" s="3">
        <f>G45*Assumptions!$B$5/365</f>
        <v>16562.268098947632</v>
      </c>
      <c r="I45" s="3">
        <f>SUMIFS(Trade_Log!$I:$I, Trade_Log!$C:$C, "&lt;="&amp;A45, Trade_Log!$D:$D, "&gt;"&amp;A45)</f>
        <v>0</v>
      </c>
      <c r="J45" s="3">
        <f>SUMIFS(Trade_Log!$J:$J, Trade_Log!$C:$C, "&lt;="&amp;A45, Trade_Log!$D:$D, "&gt;"&amp;A45)</f>
        <v>0</v>
      </c>
      <c r="K45" s="3">
        <f t="shared" si="2"/>
        <v>100770359.87003037</v>
      </c>
      <c r="L45" s="3">
        <f t="shared" si="3"/>
        <v>100770359.87003037</v>
      </c>
    </row>
    <row r="46" spans="1:12" x14ac:dyDescent="0.3">
      <c r="A46" s="25">
        <v>45883</v>
      </c>
      <c r="B46" s="3">
        <f t="shared" si="4"/>
        <v>100770359.87003037</v>
      </c>
      <c r="C46" s="3">
        <f>SUMIF(Trade_Log!$C:$C, A46, Trade_Log!$I:$I)</f>
        <v>0</v>
      </c>
      <c r="D46" s="3">
        <f>SUMIF(Trade_Log!$C:$C, A46, Trade_Log!$J:$J)</f>
        <v>0</v>
      </c>
      <c r="E46" s="3">
        <f t="shared" si="0"/>
        <v>0</v>
      </c>
      <c r="F46" s="3">
        <f>SUMIF(Trade_Log!$D:$D, A46, Trade_Log!$L:$L)</f>
        <v>0</v>
      </c>
      <c r="G46" s="3">
        <f t="shared" si="1"/>
        <v>100770359.87003037</v>
      </c>
      <c r="H46" s="3">
        <f>G46*Assumptions!$B$5/365</f>
        <v>16564.990663566638</v>
      </c>
      <c r="I46" s="3">
        <f>SUMIFS(Trade_Log!$I:$I, Trade_Log!$C:$C, "&lt;="&amp;A46, Trade_Log!$D:$D, "&gt;"&amp;A46)</f>
        <v>0</v>
      </c>
      <c r="J46" s="3">
        <f>SUMIFS(Trade_Log!$J:$J, Trade_Log!$C:$C, "&lt;="&amp;A46, Trade_Log!$D:$D, "&gt;"&amp;A46)</f>
        <v>0</v>
      </c>
      <c r="K46" s="3">
        <f t="shared" si="2"/>
        <v>100786924.86069395</v>
      </c>
      <c r="L46" s="3">
        <f t="shared" si="3"/>
        <v>100786924.86069395</v>
      </c>
    </row>
    <row r="47" spans="1:12" x14ac:dyDescent="0.3">
      <c r="A47" s="25">
        <v>45884</v>
      </c>
      <c r="B47" s="3">
        <f t="shared" si="4"/>
        <v>100786924.86069395</v>
      </c>
      <c r="C47" s="3">
        <f>SUMIF(Trade_Log!$C:$C, A47, Trade_Log!$I:$I)</f>
        <v>0</v>
      </c>
      <c r="D47" s="3">
        <f>SUMIF(Trade_Log!$C:$C, A47, Trade_Log!$J:$J)</f>
        <v>0</v>
      </c>
      <c r="E47" s="3">
        <f t="shared" si="0"/>
        <v>0</v>
      </c>
      <c r="F47" s="3">
        <f>SUMIF(Trade_Log!$D:$D, A47, Trade_Log!$L:$L)</f>
        <v>0</v>
      </c>
      <c r="G47" s="3">
        <f t="shared" si="1"/>
        <v>100786924.86069395</v>
      </c>
      <c r="H47" s="3">
        <f>G47*Assumptions!$B$5/365</f>
        <v>16567.713675730512</v>
      </c>
      <c r="I47" s="3">
        <f>SUMIFS(Trade_Log!$I:$I, Trade_Log!$C:$C, "&lt;="&amp;A47, Trade_Log!$D:$D, "&gt;"&amp;A47)</f>
        <v>0</v>
      </c>
      <c r="J47" s="3">
        <f>SUMIFS(Trade_Log!$J:$J, Trade_Log!$C:$C, "&lt;="&amp;A47, Trade_Log!$D:$D, "&gt;"&amp;A47)</f>
        <v>0</v>
      </c>
      <c r="K47" s="3">
        <f t="shared" si="2"/>
        <v>100803492.57436968</v>
      </c>
      <c r="L47" s="3">
        <f t="shared" si="3"/>
        <v>100803492.57436968</v>
      </c>
    </row>
    <row r="48" spans="1:12" x14ac:dyDescent="0.3">
      <c r="A48" s="25">
        <v>45885</v>
      </c>
      <c r="B48" s="3">
        <f t="shared" si="4"/>
        <v>100803492.57436968</v>
      </c>
      <c r="C48" s="3">
        <f>SUMIF(Trade_Log!$C:$C, A48, Trade_Log!$I:$I)</f>
        <v>0</v>
      </c>
      <c r="D48" s="3">
        <f>SUMIF(Trade_Log!$C:$C, A48, Trade_Log!$J:$J)</f>
        <v>0</v>
      </c>
      <c r="E48" s="3">
        <f t="shared" si="0"/>
        <v>0</v>
      </c>
      <c r="F48" s="3">
        <f>SUMIF(Trade_Log!$D:$D, A48, Trade_Log!$L:$L)</f>
        <v>0</v>
      </c>
      <c r="G48" s="3">
        <f t="shared" si="1"/>
        <v>100803492.57436968</v>
      </c>
      <c r="H48" s="3">
        <f>G48*Assumptions!$B$5/365</f>
        <v>16570.437135512824</v>
      </c>
      <c r="I48" s="3">
        <f>SUMIFS(Trade_Log!$I:$I, Trade_Log!$C:$C, "&lt;="&amp;A48, Trade_Log!$D:$D, "&gt;"&amp;A48)</f>
        <v>0</v>
      </c>
      <c r="J48" s="3">
        <f>SUMIFS(Trade_Log!$J:$J, Trade_Log!$C:$C, "&lt;="&amp;A48, Trade_Log!$D:$D, "&gt;"&amp;A48)</f>
        <v>0</v>
      </c>
      <c r="K48" s="3">
        <f t="shared" si="2"/>
        <v>100820063.0115052</v>
      </c>
      <c r="L48" s="3">
        <f t="shared" si="3"/>
        <v>100820063.0115052</v>
      </c>
    </row>
    <row r="49" spans="1:12" x14ac:dyDescent="0.3">
      <c r="A49" s="25">
        <v>45886</v>
      </c>
      <c r="B49" s="3">
        <f t="shared" si="4"/>
        <v>100820063.0115052</v>
      </c>
      <c r="C49" s="3">
        <f>SUMIF(Trade_Log!$C:$C, A49, Trade_Log!$I:$I)</f>
        <v>0</v>
      </c>
      <c r="D49" s="3">
        <f>SUMIF(Trade_Log!$C:$C, A49, Trade_Log!$J:$J)</f>
        <v>0</v>
      </c>
      <c r="E49" s="3">
        <f t="shared" si="0"/>
        <v>0</v>
      </c>
      <c r="F49" s="3">
        <f>SUMIF(Trade_Log!$D:$D, A49, Trade_Log!$L:$L)</f>
        <v>0</v>
      </c>
      <c r="G49" s="3">
        <f t="shared" si="1"/>
        <v>100820063.0115052</v>
      </c>
      <c r="H49" s="3">
        <f>G49*Assumptions!$B$5/365</f>
        <v>16573.161042987154</v>
      </c>
      <c r="I49" s="3">
        <f>SUMIFS(Trade_Log!$I:$I, Trade_Log!$C:$C, "&lt;="&amp;A49, Trade_Log!$D:$D, "&gt;"&amp;A49)</f>
        <v>0</v>
      </c>
      <c r="J49" s="3">
        <f>SUMIFS(Trade_Log!$J:$J, Trade_Log!$C:$C, "&lt;="&amp;A49, Trade_Log!$D:$D, "&gt;"&amp;A49)</f>
        <v>0</v>
      </c>
      <c r="K49" s="3">
        <f t="shared" si="2"/>
        <v>100836636.17254819</v>
      </c>
      <c r="L49" s="3">
        <f t="shared" si="3"/>
        <v>100836636.17254819</v>
      </c>
    </row>
    <row r="50" spans="1:12" x14ac:dyDescent="0.3">
      <c r="A50" s="25">
        <v>45887</v>
      </c>
      <c r="B50" s="3">
        <f t="shared" si="4"/>
        <v>100836636.17254819</v>
      </c>
      <c r="C50" s="3">
        <f>SUMIF(Trade_Log!$C:$C, A50, Trade_Log!$I:$I)</f>
        <v>26956621.574999999</v>
      </c>
      <c r="D50" s="3">
        <f>SUMIF(Trade_Log!$C:$C, A50, Trade_Log!$J:$J)</f>
        <v>5407740</v>
      </c>
      <c r="E50" s="3">
        <f t="shared" si="0"/>
        <v>-32364361.574999999</v>
      </c>
      <c r="F50" s="3">
        <f>SUMIF(Trade_Log!$D:$D, A50, Trade_Log!$L:$L)</f>
        <v>0</v>
      </c>
      <c r="G50" s="3">
        <f t="shared" si="1"/>
        <v>68472274.597548187</v>
      </c>
      <c r="H50" s="3">
        <f>G50*Assumptions!$B$5/365</f>
        <v>11255.7163721997</v>
      </c>
      <c r="I50" s="3">
        <f>SUMIFS(Trade_Log!$I:$I, Trade_Log!$C:$C, "&lt;="&amp;A50, Trade_Log!$D:$D, "&gt;"&amp;A50)</f>
        <v>26956621.574999999</v>
      </c>
      <c r="J50" s="3">
        <f>SUMIFS(Trade_Log!$J:$J, Trade_Log!$C:$C, "&lt;="&amp;A50, Trade_Log!$D:$D, "&gt;"&amp;A50)</f>
        <v>5407740</v>
      </c>
      <c r="K50" s="3">
        <f t="shared" si="2"/>
        <v>68483530.313920394</v>
      </c>
      <c r="L50" s="3">
        <f t="shared" si="3"/>
        <v>100847891.8889204</v>
      </c>
    </row>
    <row r="51" spans="1:12" x14ac:dyDescent="0.3">
      <c r="A51" s="25">
        <v>45888</v>
      </c>
      <c r="B51" s="3">
        <f t="shared" si="4"/>
        <v>68483530.313920394</v>
      </c>
      <c r="C51" s="3">
        <f>SUMIF(Trade_Log!$C:$C, A51, Trade_Log!$I:$I)</f>
        <v>0</v>
      </c>
      <c r="D51" s="3">
        <f>SUMIF(Trade_Log!$C:$C, A51, Trade_Log!$J:$J)</f>
        <v>0</v>
      </c>
      <c r="E51" s="3">
        <f t="shared" si="0"/>
        <v>0</v>
      </c>
      <c r="F51" s="3">
        <f>SUMIF(Trade_Log!$D:$D, A51, Trade_Log!$L:$L)</f>
        <v>0</v>
      </c>
      <c r="G51" s="3">
        <f t="shared" si="1"/>
        <v>68483530.313920394</v>
      </c>
      <c r="H51" s="3">
        <f>G51*Assumptions!$B$5/365</f>
        <v>11257.566626945818</v>
      </c>
      <c r="I51" s="3">
        <f>SUMIFS(Trade_Log!$I:$I, Trade_Log!$C:$C, "&lt;="&amp;A51, Trade_Log!$D:$D, "&gt;"&amp;A51)</f>
        <v>26956621.574999999</v>
      </c>
      <c r="J51" s="3">
        <f>SUMIFS(Trade_Log!$J:$J, Trade_Log!$C:$C, "&lt;="&amp;A51, Trade_Log!$D:$D, "&gt;"&amp;A51)</f>
        <v>5407740</v>
      </c>
      <c r="K51" s="3">
        <f t="shared" si="2"/>
        <v>68494787.880547345</v>
      </c>
      <c r="L51" s="3">
        <f t="shared" si="3"/>
        <v>100859149.45554735</v>
      </c>
    </row>
    <row r="52" spans="1:12" x14ac:dyDescent="0.3">
      <c r="A52" s="25">
        <v>45889</v>
      </c>
      <c r="B52" s="3">
        <f t="shared" si="4"/>
        <v>68494787.880547345</v>
      </c>
      <c r="C52" s="3">
        <f>SUMIF(Trade_Log!$C:$C, A52, Trade_Log!$I:$I)</f>
        <v>0</v>
      </c>
      <c r="D52" s="3">
        <f>SUMIF(Trade_Log!$C:$C, A52, Trade_Log!$J:$J)</f>
        <v>0</v>
      </c>
      <c r="E52" s="3">
        <f t="shared" si="0"/>
        <v>0</v>
      </c>
      <c r="F52" s="3">
        <f>SUMIF(Trade_Log!$D:$D, A52, Trade_Log!$L:$L)</f>
        <v>0</v>
      </c>
      <c r="G52" s="3">
        <f t="shared" si="1"/>
        <v>68494787.880547345</v>
      </c>
      <c r="H52" s="3">
        <f>G52*Assumptions!$B$5/365</f>
        <v>11259.417185843398</v>
      </c>
      <c r="I52" s="3">
        <f>SUMIFS(Trade_Log!$I:$I, Trade_Log!$C:$C, "&lt;="&amp;A52, Trade_Log!$D:$D, "&gt;"&amp;A52)</f>
        <v>26956621.574999999</v>
      </c>
      <c r="J52" s="3">
        <f>SUMIFS(Trade_Log!$J:$J, Trade_Log!$C:$C, "&lt;="&amp;A52, Trade_Log!$D:$D, "&gt;"&amp;A52)</f>
        <v>5407740</v>
      </c>
      <c r="K52" s="3">
        <f t="shared" si="2"/>
        <v>68506047.297733188</v>
      </c>
      <c r="L52" s="3">
        <f t="shared" si="3"/>
        <v>100870408.87273319</v>
      </c>
    </row>
    <row r="53" spans="1:12" x14ac:dyDescent="0.3">
      <c r="A53" s="25">
        <v>45890</v>
      </c>
      <c r="B53" s="3">
        <f t="shared" si="4"/>
        <v>68506047.297733188</v>
      </c>
      <c r="C53" s="3">
        <f>SUMIF(Trade_Log!$C:$C, A53, Trade_Log!$I:$I)</f>
        <v>0</v>
      </c>
      <c r="D53" s="3">
        <f>SUMIF(Trade_Log!$C:$C, A53, Trade_Log!$J:$J)</f>
        <v>0</v>
      </c>
      <c r="E53" s="3">
        <f t="shared" si="0"/>
        <v>0</v>
      </c>
      <c r="F53" s="3">
        <f>SUMIF(Trade_Log!$D:$D, A53, Trade_Log!$L:$L)</f>
        <v>0</v>
      </c>
      <c r="G53" s="3">
        <f t="shared" si="1"/>
        <v>68506047.297733188</v>
      </c>
      <c r="H53" s="3">
        <f>G53*Assumptions!$B$5/365</f>
        <v>11261.268048942442</v>
      </c>
      <c r="I53" s="3">
        <f>SUMIFS(Trade_Log!$I:$I, Trade_Log!$C:$C, "&lt;="&amp;A53, Trade_Log!$D:$D, "&gt;"&amp;A53)</f>
        <v>26956621.574999999</v>
      </c>
      <c r="J53" s="3">
        <f>SUMIFS(Trade_Log!$J:$J, Trade_Log!$C:$C, "&lt;="&amp;A53, Trade_Log!$D:$D, "&gt;"&amp;A53)</f>
        <v>5407740</v>
      </c>
      <c r="K53" s="3">
        <f t="shared" si="2"/>
        <v>68517308.56578213</v>
      </c>
      <c r="L53" s="3">
        <f t="shared" si="3"/>
        <v>100881670.14078213</v>
      </c>
    </row>
    <row r="54" spans="1:12" x14ac:dyDescent="0.3">
      <c r="A54" s="25">
        <v>45891</v>
      </c>
      <c r="B54" s="3">
        <f t="shared" si="4"/>
        <v>68517308.56578213</v>
      </c>
      <c r="C54" s="3">
        <f>SUMIF(Trade_Log!$C:$C, A54, Trade_Log!$I:$I)</f>
        <v>0</v>
      </c>
      <c r="D54" s="3">
        <f>SUMIF(Trade_Log!$C:$C, A54, Trade_Log!$J:$J)</f>
        <v>0</v>
      </c>
      <c r="E54" s="3">
        <f t="shared" si="0"/>
        <v>0</v>
      </c>
      <c r="F54" s="3">
        <f>SUMIF(Trade_Log!$D:$D, A54, Trade_Log!$L:$L)</f>
        <v>0</v>
      </c>
      <c r="G54" s="3">
        <f t="shared" si="1"/>
        <v>68517308.56578213</v>
      </c>
      <c r="H54" s="3">
        <f>G54*Assumptions!$B$5/365</f>
        <v>11263.119216292953</v>
      </c>
      <c r="I54" s="3">
        <f>SUMIFS(Trade_Log!$I:$I, Trade_Log!$C:$C, "&lt;="&amp;A54, Trade_Log!$D:$D, "&gt;"&amp;A54)</f>
        <v>26956621.574999999</v>
      </c>
      <c r="J54" s="3">
        <f>SUMIFS(Trade_Log!$J:$J, Trade_Log!$C:$C, "&lt;="&amp;A54, Trade_Log!$D:$D, "&gt;"&amp;A54)</f>
        <v>5407740</v>
      </c>
      <c r="K54" s="3">
        <f t="shared" si="2"/>
        <v>68528571.684998423</v>
      </c>
      <c r="L54" s="3">
        <f t="shared" si="3"/>
        <v>100892933.25999843</v>
      </c>
    </row>
    <row r="55" spans="1:12" x14ac:dyDescent="0.3">
      <c r="A55" s="25">
        <v>45892</v>
      </c>
      <c r="B55" s="3">
        <f t="shared" si="4"/>
        <v>68528571.684998423</v>
      </c>
      <c r="C55" s="3">
        <f>SUMIF(Trade_Log!$C:$C, A55, Trade_Log!$I:$I)</f>
        <v>0</v>
      </c>
      <c r="D55" s="3">
        <f>SUMIF(Trade_Log!$C:$C, A55, Trade_Log!$J:$J)</f>
        <v>0</v>
      </c>
      <c r="E55" s="3">
        <f t="shared" si="0"/>
        <v>0</v>
      </c>
      <c r="F55" s="3">
        <f>SUMIF(Trade_Log!$D:$D, A55, Trade_Log!$L:$L)</f>
        <v>0</v>
      </c>
      <c r="G55" s="3">
        <f t="shared" si="1"/>
        <v>68528571.684998423</v>
      </c>
      <c r="H55" s="3">
        <f>G55*Assumptions!$B$5/365</f>
        <v>11264.970687944946</v>
      </c>
      <c r="I55" s="3">
        <f>SUMIFS(Trade_Log!$I:$I, Trade_Log!$C:$C, "&lt;="&amp;A55, Trade_Log!$D:$D, "&gt;"&amp;A55)</f>
        <v>26956621.574999999</v>
      </c>
      <c r="J55" s="3">
        <f>SUMIFS(Trade_Log!$J:$J, Trade_Log!$C:$C, "&lt;="&amp;A55, Trade_Log!$D:$D, "&gt;"&amp;A55)</f>
        <v>5407740</v>
      </c>
      <c r="K55" s="3">
        <f t="shared" si="2"/>
        <v>68539836.655686364</v>
      </c>
      <c r="L55" s="3">
        <f t="shared" si="3"/>
        <v>100904198.23068637</v>
      </c>
    </row>
    <row r="56" spans="1:12" x14ac:dyDescent="0.3">
      <c r="A56" s="25">
        <v>45893</v>
      </c>
      <c r="B56" s="3">
        <f t="shared" si="4"/>
        <v>68539836.655686364</v>
      </c>
      <c r="C56" s="3">
        <f>SUMIF(Trade_Log!$C:$C, A56, Trade_Log!$I:$I)</f>
        <v>0</v>
      </c>
      <c r="D56" s="3">
        <f>SUMIF(Trade_Log!$C:$C, A56, Trade_Log!$J:$J)</f>
        <v>0</v>
      </c>
      <c r="E56" s="3">
        <f t="shared" si="0"/>
        <v>0</v>
      </c>
      <c r="F56" s="3">
        <f>SUMIF(Trade_Log!$D:$D, A56, Trade_Log!$L:$L)</f>
        <v>0</v>
      </c>
      <c r="G56" s="3">
        <f t="shared" si="1"/>
        <v>68539836.655686364</v>
      </c>
      <c r="H56" s="3">
        <f>G56*Assumptions!$B$5/365</f>
        <v>11266.822463948443</v>
      </c>
      <c r="I56" s="3">
        <f>SUMIFS(Trade_Log!$I:$I, Trade_Log!$C:$C, "&lt;="&amp;A56, Trade_Log!$D:$D, "&gt;"&amp;A56)</f>
        <v>26956621.574999999</v>
      </c>
      <c r="J56" s="3">
        <f>SUMIFS(Trade_Log!$J:$J, Trade_Log!$C:$C, "&lt;="&amp;A56, Trade_Log!$D:$D, "&gt;"&amp;A56)</f>
        <v>5407740</v>
      </c>
      <c r="K56" s="3">
        <f t="shared" si="2"/>
        <v>68551103.478150308</v>
      </c>
      <c r="L56" s="3">
        <f t="shared" si="3"/>
        <v>100915465.05315031</v>
      </c>
    </row>
    <row r="57" spans="1:12" x14ac:dyDescent="0.3">
      <c r="A57" s="25">
        <v>45894</v>
      </c>
      <c r="B57" s="3">
        <f t="shared" si="4"/>
        <v>68551103.478150308</v>
      </c>
      <c r="C57" s="3">
        <f>SUMIF(Trade_Log!$C:$C, A57, Trade_Log!$I:$I)</f>
        <v>0</v>
      </c>
      <c r="D57" s="3">
        <f>SUMIF(Trade_Log!$C:$C, A57, Trade_Log!$J:$J)</f>
        <v>0</v>
      </c>
      <c r="E57" s="3">
        <f t="shared" si="0"/>
        <v>0</v>
      </c>
      <c r="F57" s="3">
        <f>SUMIF(Trade_Log!$D:$D, A57, Trade_Log!$L:$L)</f>
        <v>0</v>
      </c>
      <c r="G57" s="3">
        <f t="shared" si="1"/>
        <v>68551103.478150308</v>
      </c>
      <c r="H57" s="3">
        <f>G57*Assumptions!$B$5/365</f>
        <v>11268.674544353475</v>
      </c>
      <c r="I57" s="3">
        <f>SUMIFS(Trade_Log!$I:$I, Trade_Log!$C:$C, "&lt;="&amp;A57, Trade_Log!$D:$D, "&gt;"&amp;A57)</f>
        <v>26956621.574999999</v>
      </c>
      <c r="J57" s="3">
        <f>SUMIFS(Trade_Log!$J:$J, Trade_Log!$C:$C, "&lt;="&amp;A57, Trade_Log!$D:$D, "&gt;"&amp;A57)</f>
        <v>5407740</v>
      </c>
      <c r="K57" s="3">
        <f t="shared" si="2"/>
        <v>68562372.152694657</v>
      </c>
      <c r="L57" s="3">
        <f t="shared" si="3"/>
        <v>100926733.72769466</v>
      </c>
    </row>
    <row r="58" spans="1:12" x14ac:dyDescent="0.3">
      <c r="A58" s="25">
        <v>45895</v>
      </c>
      <c r="B58" s="3">
        <f t="shared" si="4"/>
        <v>68562372.152694657</v>
      </c>
      <c r="C58" s="3">
        <f>SUMIF(Trade_Log!$C:$C, A58, Trade_Log!$I:$I)</f>
        <v>0</v>
      </c>
      <c r="D58" s="3">
        <f>SUMIF(Trade_Log!$C:$C, A58, Trade_Log!$J:$J)</f>
        <v>0</v>
      </c>
      <c r="E58" s="3">
        <f t="shared" si="0"/>
        <v>0</v>
      </c>
      <c r="F58" s="3">
        <f>SUMIF(Trade_Log!$D:$D, A58, Trade_Log!$L:$L)</f>
        <v>0</v>
      </c>
      <c r="G58" s="3">
        <f t="shared" si="1"/>
        <v>68562372.152694657</v>
      </c>
      <c r="H58" s="3">
        <f>G58*Assumptions!$B$5/365</f>
        <v>11270.52692921008</v>
      </c>
      <c r="I58" s="3">
        <f>SUMIFS(Trade_Log!$I:$I, Trade_Log!$C:$C, "&lt;="&amp;A58, Trade_Log!$D:$D, "&gt;"&amp;A58)</f>
        <v>26956621.574999999</v>
      </c>
      <c r="J58" s="3">
        <f>SUMIFS(Trade_Log!$J:$J, Trade_Log!$C:$C, "&lt;="&amp;A58, Trade_Log!$D:$D, "&gt;"&amp;A58)</f>
        <v>5407740</v>
      </c>
      <c r="K58" s="3">
        <f t="shared" si="2"/>
        <v>68573642.679623872</v>
      </c>
      <c r="L58" s="3">
        <f t="shared" si="3"/>
        <v>100938004.25462388</v>
      </c>
    </row>
    <row r="59" spans="1:12" x14ac:dyDescent="0.3">
      <c r="A59" s="25">
        <v>45896</v>
      </c>
      <c r="B59" s="3">
        <f t="shared" si="4"/>
        <v>68573642.679623872</v>
      </c>
      <c r="C59" s="3">
        <f>SUMIF(Trade_Log!$C:$C, A59, Trade_Log!$I:$I)</f>
        <v>0</v>
      </c>
      <c r="D59" s="3">
        <f>SUMIF(Trade_Log!$C:$C, A59, Trade_Log!$J:$J)</f>
        <v>0</v>
      </c>
      <c r="E59" s="3">
        <f t="shared" si="0"/>
        <v>0</v>
      </c>
      <c r="F59" s="3">
        <f>SUMIF(Trade_Log!$D:$D, A59, Trade_Log!$L:$L)</f>
        <v>0</v>
      </c>
      <c r="G59" s="3">
        <f t="shared" si="1"/>
        <v>68573642.679623872</v>
      </c>
      <c r="H59" s="3">
        <f>G59*Assumptions!$B$5/365</f>
        <v>11272.379618568308</v>
      </c>
      <c r="I59" s="3">
        <f>SUMIFS(Trade_Log!$I:$I, Trade_Log!$C:$C, "&lt;="&amp;A59, Trade_Log!$D:$D, "&gt;"&amp;A59)</f>
        <v>26956621.574999999</v>
      </c>
      <c r="J59" s="3">
        <f>SUMIFS(Trade_Log!$J:$J, Trade_Log!$C:$C, "&lt;="&amp;A59, Trade_Log!$D:$D, "&gt;"&amp;A59)</f>
        <v>5407740</v>
      </c>
      <c r="K59" s="3">
        <f t="shared" si="2"/>
        <v>68584915.059242442</v>
      </c>
      <c r="L59" s="3">
        <f t="shared" si="3"/>
        <v>100949276.63424245</v>
      </c>
    </row>
    <row r="60" spans="1:12" x14ac:dyDescent="0.3">
      <c r="A60" s="25">
        <v>45897</v>
      </c>
      <c r="B60" s="3">
        <f t="shared" si="4"/>
        <v>68584915.059242442</v>
      </c>
      <c r="C60" s="3">
        <f>SUMIF(Trade_Log!$C:$C, A60, Trade_Log!$I:$I)</f>
        <v>0</v>
      </c>
      <c r="D60" s="3">
        <f>SUMIF(Trade_Log!$C:$C, A60, Trade_Log!$J:$J)</f>
        <v>0</v>
      </c>
      <c r="E60" s="3">
        <f t="shared" si="0"/>
        <v>0</v>
      </c>
      <c r="F60" s="3">
        <f>SUMIF(Trade_Log!$D:$D, A60, Trade_Log!$L:$L)</f>
        <v>32432924.744999997</v>
      </c>
      <c r="G60" s="3">
        <f t="shared" si="1"/>
        <v>101017839.80424243</v>
      </c>
      <c r="H60" s="3">
        <f>G60*Assumptions!$B$5/365</f>
        <v>16605.672296587796</v>
      </c>
      <c r="I60" s="3">
        <f>SUMIFS(Trade_Log!$I:$I, Trade_Log!$C:$C, "&lt;="&amp;A60, Trade_Log!$D:$D, "&gt;"&amp;A60)</f>
        <v>0</v>
      </c>
      <c r="J60" s="3">
        <f>SUMIFS(Trade_Log!$J:$J, Trade_Log!$C:$C, "&lt;="&amp;A60, Trade_Log!$D:$D, "&gt;"&amp;A60)</f>
        <v>0</v>
      </c>
      <c r="K60" s="3">
        <f t="shared" si="2"/>
        <v>101034445.47653902</v>
      </c>
      <c r="L60" s="3">
        <f t="shared" si="3"/>
        <v>101034445.47653902</v>
      </c>
    </row>
    <row r="61" spans="1:12" x14ac:dyDescent="0.3">
      <c r="A61" s="25">
        <v>45898</v>
      </c>
      <c r="B61" s="3">
        <f t="shared" si="4"/>
        <v>101034445.47653902</v>
      </c>
      <c r="C61" s="3">
        <f>SUMIF(Trade_Log!$C:$C, A61, Trade_Log!$I:$I)</f>
        <v>0</v>
      </c>
      <c r="D61" s="3">
        <f>SUMIF(Trade_Log!$C:$C, A61, Trade_Log!$J:$J)</f>
        <v>0</v>
      </c>
      <c r="E61" s="3">
        <f t="shared" si="0"/>
        <v>0</v>
      </c>
      <c r="F61" s="3">
        <f>SUMIF(Trade_Log!$D:$D, A61, Trade_Log!$L:$L)</f>
        <v>0</v>
      </c>
      <c r="G61" s="3">
        <f t="shared" si="1"/>
        <v>101034445.47653902</v>
      </c>
      <c r="H61" s="3">
        <f>G61*Assumptions!$B$5/365</f>
        <v>16608.401996143399</v>
      </c>
      <c r="I61" s="3">
        <f>SUMIFS(Trade_Log!$I:$I, Trade_Log!$C:$C, "&lt;="&amp;A61, Trade_Log!$D:$D, "&gt;"&amp;A61)</f>
        <v>0</v>
      </c>
      <c r="J61" s="3">
        <f>SUMIFS(Trade_Log!$J:$J, Trade_Log!$C:$C, "&lt;="&amp;A61, Trade_Log!$D:$D, "&gt;"&amp;A61)</f>
        <v>0</v>
      </c>
      <c r="K61" s="3">
        <f t="shared" si="2"/>
        <v>101051053.87853517</v>
      </c>
      <c r="L61" s="3">
        <f t="shared" si="3"/>
        <v>101051053.87853517</v>
      </c>
    </row>
    <row r="62" spans="1:12" x14ac:dyDescent="0.3">
      <c r="A62" s="25">
        <v>45899</v>
      </c>
      <c r="B62" s="3">
        <f t="shared" si="4"/>
        <v>101051053.87853517</v>
      </c>
      <c r="C62" s="3">
        <f>SUMIF(Trade_Log!$C:$C, A62, Trade_Log!$I:$I)</f>
        <v>0</v>
      </c>
      <c r="D62" s="3">
        <f>SUMIF(Trade_Log!$C:$C, A62, Trade_Log!$J:$J)</f>
        <v>0</v>
      </c>
      <c r="E62" s="3">
        <f t="shared" si="0"/>
        <v>0</v>
      </c>
      <c r="F62" s="3">
        <f>SUMIF(Trade_Log!$D:$D, A62, Trade_Log!$L:$L)</f>
        <v>0</v>
      </c>
      <c r="G62" s="3">
        <f t="shared" si="1"/>
        <v>101051053.87853517</v>
      </c>
      <c r="H62" s="3">
        <f>G62*Assumptions!$B$5/365</f>
        <v>16611.132144416737</v>
      </c>
      <c r="I62" s="3">
        <f>SUMIFS(Trade_Log!$I:$I, Trade_Log!$C:$C, "&lt;="&amp;A62, Trade_Log!$D:$D, "&gt;"&amp;A62)</f>
        <v>0</v>
      </c>
      <c r="J62" s="3">
        <f>SUMIFS(Trade_Log!$J:$J, Trade_Log!$C:$C, "&lt;="&amp;A62, Trade_Log!$D:$D, "&gt;"&amp;A62)</f>
        <v>0</v>
      </c>
      <c r="K62" s="3">
        <f t="shared" si="2"/>
        <v>101067665.01067959</v>
      </c>
      <c r="L62" s="3">
        <f t="shared" si="3"/>
        <v>101067665.01067959</v>
      </c>
    </row>
    <row r="63" spans="1:12" x14ac:dyDescent="0.3">
      <c r="A63" s="25">
        <v>45900</v>
      </c>
      <c r="B63" s="3">
        <f t="shared" si="4"/>
        <v>101067665.01067959</v>
      </c>
      <c r="C63" s="3">
        <f>SUMIF(Trade_Log!$C:$C, A63, Trade_Log!$I:$I)</f>
        <v>0</v>
      </c>
      <c r="D63" s="3">
        <f>SUMIF(Trade_Log!$C:$C, A63, Trade_Log!$J:$J)</f>
        <v>0</v>
      </c>
      <c r="E63" s="3">
        <f t="shared" si="0"/>
        <v>0</v>
      </c>
      <c r="F63" s="3">
        <f>SUMIF(Trade_Log!$D:$D, A63, Trade_Log!$L:$L)</f>
        <v>0</v>
      </c>
      <c r="G63" s="3">
        <f t="shared" si="1"/>
        <v>101067665.01067959</v>
      </c>
      <c r="H63" s="3">
        <f>G63*Assumptions!$B$5/365</f>
        <v>16613.862741481578</v>
      </c>
      <c r="I63" s="3">
        <f>SUMIFS(Trade_Log!$I:$I, Trade_Log!$C:$C, "&lt;="&amp;A63, Trade_Log!$D:$D, "&gt;"&amp;A63)</f>
        <v>0</v>
      </c>
      <c r="J63" s="3">
        <f>SUMIFS(Trade_Log!$J:$J, Trade_Log!$C:$C, "&lt;="&amp;A63, Trade_Log!$D:$D, "&gt;"&amp;A63)</f>
        <v>0</v>
      </c>
      <c r="K63" s="3">
        <f t="shared" si="2"/>
        <v>101084278.87342107</v>
      </c>
      <c r="L63" s="3">
        <f t="shared" si="3"/>
        <v>101084278.87342107</v>
      </c>
    </row>
    <row r="64" spans="1:12" x14ac:dyDescent="0.3">
      <c r="A64" s="25">
        <v>45901</v>
      </c>
      <c r="B64" s="3">
        <f t="shared" si="4"/>
        <v>101084278.87342107</v>
      </c>
      <c r="C64" s="3">
        <f>SUMIF(Trade_Log!$C:$C, A64, Trade_Log!$I:$I)</f>
        <v>0</v>
      </c>
      <c r="D64" s="3">
        <f>SUMIF(Trade_Log!$C:$C, A64, Trade_Log!$J:$J)</f>
        <v>0</v>
      </c>
      <c r="E64" s="3">
        <f t="shared" si="0"/>
        <v>0</v>
      </c>
      <c r="F64" s="3">
        <f>SUMIF(Trade_Log!$D:$D, A64, Trade_Log!$L:$L)</f>
        <v>0</v>
      </c>
      <c r="G64" s="3">
        <f t="shared" si="1"/>
        <v>101084278.87342107</v>
      </c>
      <c r="H64" s="3">
        <f>G64*Assumptions!$B$5/365</f>
        <v>16616.593787411683</v>
      </c>
      <c r="I64" s="3">
        <f>SUMIFS(Trade_Log!$I:$I, Trade_Log!$C:$C, "&lt;="&amp;A64, Trade_Log!$D:$D, "&gt;"&amp;A64)</f>
        <v>0</v>
      </c>
      <c r="J64" s="3">
        <f>SUMIFS(Trade_Log!$J:$J, Trade_Log!$C:$C, "&lt;="&amp;A64, Trade_Log!$D:$D, "&gt;"&amp;A64)</f>
        <v>0</v>
      </c>
      <c r="K64" s="3">
        <f t="shared" si="2"/>
        <v>101100895.46720849</v>
      </c>
      <c r="L64" s="3">
        <f t="shared" si="3"/>
        <v>101100895.46720849</v>
      </c>
    </row>
    <row r="65" spans="1:12" x14ac:dyDescent="0.3">
      <c r="A65" s="25">
        <v>45902</v>
      </c>
      <c r="B65" s="3">
        <f t="shared" si="4"/>
        <v>101100895.46720849</v>
      </c>
      <c r="C65" s="3">
        <f>SUMIF(Trade_Log!$C:$C, A65, Trade_Log!$I:$I)</f>
        <v>0</v>
      </c>
      <c r="D65" s="3">
        <f>SUMIF(Trade_Log!$C:$C, A65, Trade_Log!$J:$J)</f>
        <v>0</v>
      </c>
      <c r="E65" s="3">
        <f t="shared" si="0"/>
        <v>0</v>
      </c>
      <c r="F65" s="3">
        <f>SUMIF(Trade_Log!$D:$D, A65, Trade_Log!$L:$L)</f>
        <v>0</v>
      </c>
      <c r="G65" s="3">
        <f t="shared" si="1"/>
        <v>101100895.46720849</v>
      </c>
      <c r="H65" s="3">
        <f>G65*Assumptions!$B$5/365</f>
        <v>16619.325282280846</v>
      </c>
      <c r="I65" s="3">
        <f>SUMIFS(Trade_Log!$I:$I, Trade_Log!$C:$C, "&lt;="&amp;A65, Trade_Log!$D:$D, "&gt;"&amp;A65)</f>
        <v>0</v>
      </c>
      <c r="J65" s="3">
        <f>SUMIFS(Trade_Log!$J:$J, Trade_Log!$C:$C, "&lt;="&amp;A65, Trade_Log!$D:$D, "&gt;"&amp;A65)</f>
        <v>0</v>
      </c>
      <c r="K65" s="3">
        <f t="shared" si="2"/>
        <v>101117514.79249077</v>
      </c>
      <c r="L65" s="3">
        <f t="shared" si="3"/>
        <v>101117514.79249077</v>
      </c>
    </row>
    <row r="66" spans="1:12" x14ac:dyDescent="0.3">
      <c r="A66" s="25">
        <v>45903</v>
      </c>
      <c r="B66" s="3">
        <f t="shared" si="4"/>
        <v>101117514.79249077</v>
      </c>
      <c r="C66" s="3">
        <f>SUMIF(Trade_Log!$C:$C, A66, Trade_Log!$I:$I)</f>
        <v>0</v>
      </c>
      <c r="D66" s="3">
        <f>SUMIF(Trade_Log!$C:$C, A66, Trade_Log!$J:$J)</f>
        <v>0</v>
      </c>
      <c r="E66" s="3">
        <f t="shared" si="0"/>
        <v>0</v>
      </c>
      <c r="F66" s="3">
        <f>SUMIF(Trade_Log!$D:$D, A66, Trade_Log!$L:$L)</f>
        <v>0</v>
      </c>
      <c r="G66" s="3">
        <f t="shared" si="1"/>
        <v>101117514.79249077</v>
      </c>
      <c r="H66" s="3">
        <f>G66*Assumptions!$B$5/365</f>
        <v>16622.057226162866</v>
      </c>
      <c r="I66" s="3">
        <f>SUMIFS(Trade_Log!$I:$I, Trade_Log!$C:$C, "&lt;="&amp;A66, Trade_Log!$D:$D, "&gt;"&amp;A66)</f>
        <v>0</v>
      </c>
      <c r="J66" s="3">
        <f>SUMIFS(Trade_Log!$J:$J, Trade_Log!$C:$C, "&lt;="&amp;A66, Trade_Log!$D:$D, "&gt;"&amp;A66)</f>
        <v>0</v>
      </c>
      <c r="K66" s="3">
        <f t="shared" si="2"/>
        <v>101134136.84971693</v>
      </c>
      <c r="L66" s="3">
        <f t="shared" si="3"/>
        <v>101134136.84971693</v>
      </c>
    </row>
    <row r="67" spans="1:12" x14ac:dyDescent="0.3">
      <c r="A67" s="25">
        <v>45904</v>
      </c>
      <c r="B67" s="3">
        <f t="shared" si="4"/>
        <v>101134136.84971693</v>
      </c>
      <c r="C67" s="3">
        <f>SUMIF(Trade_Log!$C:$C, A67, Trade_Log!$I:$I)</f>
        <v>0</v>
      </c>
      <c r="D67" s="3">
        <f>SUMIF(Trade_Log!$C:$C, A67, Trade_Log!$J:$J)</f>
        <v>0</v>
      </c>
      <c r="E67" s="3">
        <f t="shared" si="0"/>
        <v>0</v>
      </c>
      <c r="F67" s="3">
        <f>SUMIF(Trade_Log!$D:$D, A67, Trade_Log!$L:$L)</f>
        <v>0</v>
      </c>
      <c r="G67" s="3">
        <f t="shared" si="1"/>
        <v>101134136.84971693</v>
      </c>
      <c r="H67" s="3">
        <f>G67*Assumptions!$B$5/365</f>
        <v>16624.789619131549</v>
      </c>
      <c r="I67" s="3">
        <f>SUMIFS(Trade_Log!$I:$I, Trade_Log!$C:$C, "&lt;="&amp;A67, Trade_Log!$D:$D, "&gt;"&amp;A67)</f>
        <v>0</v>
      </c>
      <c r="J67" s="3">
        <f>SUMIFS(Trade_Log!$J:$J, Trade_Log!$C:$C, "&lt;="&amp;A67, Trade_Log!$D:$D, "&gt;"&amp;A67)</f>
        <v>0</v>
      </c>
      <c r="K67" s="3">
        <f t="shared" si="2"/>
        <v>101150761.63933606</v>
      </c>
      <c r="L67" s="3">
        <f t="shared" si="3"/>
        <v>101150761.63933606</v>
      </c>
    </row>
    <row r="68" spans="1:12" x14ac:dyDescent="0.3">
      <c r="A68" s="25">
        <v>45905</v>
      </c>
      <c r="B68" s="3">
        <f t="shared" si="4"/>
        <v>101150761.63933606</v>
      </c>
      <c r="C68" s="3">
        <f>SUMIF(Trade_Log!$C:$C, A68, Trade_Log!$I:$I)</f>
        <v>0</v>
      </c>
      <c r="D68" s="3">
        <f>SUMIF(Trade_Log!$C:$C, A68, Trade_Log!$J:$J)</f>
        <v>0</v>
      </c>
      <c r="E68" s="3">
        <f t="shared" si="0"/>
        <v>0</v>
      </c>
      <c r="F68" s="3">
        <f>SUMIF(Trade_Log!$D:$D, A68, Trade_Log!$L:$L)</f>
        <v>0</v>
      </c>
      <c r="G68" s="3">
        <f t="shared" si="1"/>
        <v>101150761.63933606</v>
      </c>
      <c r="H68" s="3">
        <f>G68*Assumptions!$B$5/365</f>
        <v>16627.522461260724</v>
      </c>
      <c r="I68" s="3">
        <f>SUMIFS(Trade_Log!$I:$I, Trade_Log!$C:$C, "&lt;="&amp;A68, Trade_Log!$D:$D, "&gt;"&amp;A68)</f>
        <v>0</v>
      </c>
      <c r="J68" s="3">
        <f>SUMIFS(Trade_Log!$J:$J, Trade_Log!$C:$C, "&lt;="&amp;A68, Trade_Log!$D:$D, "&gt;"&amp;A68)</f>
        <v>0</v>
      </c>
      <c r="K68" s="3">
        <f t="shared" si="2"/>
        <v>101167389.16179733</v>
      </c>
      <c r="L68" s="3">
        <f t="shared" si="3"/>
        <v>101167389.16179733</v>
      </c>
    </row>
    <row r="69" spans="1:12" x14ac:dyDescent="0.3">
      <c r="A69" s="25">
        <v>45906</v>
      </c>
      <c r="B69" s="3">
        <f t="shared" si="4"/>
        <v>101167389.16179733</v>
      </c>
      <c r="C69" s="3">
        <f>SUMIF(Trade_Log!$C:$C, A69, Trade_Log!$I:$I)</f>
        <v>0</v>
      </c>
      <c r="D69" s="3">
        <f>SUMIF(Trade_Log!$C:$C, A69, Trade_Log!$J:$J)</f>
        <v>0</v>
      </c>
      <c r="E69" s="3">
        <f t="shared" si="0"/>
        <v>0</v>
      </c>
      <c r="F69" s="3">
        <f>SUMIF(Trade_Log!$D:$D, A69, Trade_Log!$L:$L)</f>
        <v>0</v>
      </c>
      <c r="G69" s="3">
        <f t="shared" si="1"/>
        <v>101167389.16179733</v>
      </c>
      <c r="H69" s="3">
        <f>G69*Assumptions!$B$5/365</f>
        <v>16630.25575262422</v>
      </c>
      <c r="I69" s="3">
        <f>SUMIFS(Trade_Log!$I:$I, Trade_Log!$C:$C, "&lt;="&amp;A69, Trade_Log!$D:$D, "&gt;"&amp;A69)</f>
        <v>0</v>
      </c>
      <c r="J69" s="3">
        <f>SUMIFS(Trade_Log!$J:$J, Trade_Log!$C:$C, "&lt;="&amp;A69, Trade_Log!$D:$D, "&gt;"&amp;A69)</f>
        <v>0</v>
      </c>
      <c r="K69" s="3">
        <f t="shared" si="2"/>
        <v>101184019.41754995</v>
      </c>
      <c r="L69" s="3">
        <f t="shared" si="3"/>
        <v>101184019.41754995</v>
      </c>
    </row>
    <row r="70" spans="1:12" x14ac:dyDescent="0.3">
      <c r="A70" s="25">
        <v>45907</v>
      </c>
      <c r="B70" s="3">
        <f t="shared" si="4"/>
        <v>101184019.41754995</v>
      </c>
      <c r="C70" s="3">
        <f>SUMIF(Trade_Log!$C:$C, A70, Trade_Log!$I:$I)</f>
        <v>0</v>
      </c>
      <c r="D70" s="3">
        <f>SUMIF(Trade_Log!$C:$C, A70, Trade_Log!$J:$J)</f>
        <v>0</v>
      </c>
      <c r="E70" s="3">
        <f t="shared" si="0"/>
        <v>0</v>
      </c>
      <c r="F70" s="3">
        <f>SUMIF(Trade_Log!$D:$D, A70, Trade_Log!$L:$L)</f>
        <v>0</v>
      </c>
      <c r="G70" s="3">
        <f t="shared" si="1"/>
        <v>101184019.41754995</v>
      </c>
      <c r="H70" s="3">
        <f>G70*Assumptions!$B$5/365</f>
        <v>16632.989493295881</v>
      </c>
      <c r="I70" s="3">
        <f>SUMIFS(Trade_Log!$I:$I, Trade_Log!$C:$C, "&lt;="&amp;A70, Trade_Log!$D:$D, "&gt;"&amp;A70)</f>
        <v>0</v>
      </c>
      <c r="J70" s="3">
        <f>SUMIFS(Trade_Log!$J:$J, Trade_Log!$C:$C, "&lt;="&amp;A70, Trade_Log!$D:$D, "&gt;"&amp;A70)</f>
        <v>0</v>
      </c>
      <c r="K70" s="3">
        <f t="shared" si="2"/>
        <v>101200652.40704325</v>
      </c>
      <c r="L70" s="3">
        <f t="shared" si="3"/>
        <v>101200652.40704325</v>
      </c>
    </row>
    <row r="71" spans="1:12" x14ac:dyDescent="0.3">
      <c r="A71" s="25">
        <v>45908</v>
      </c>
      <c r="B71" s="3">
        <f t="shared" si="4"/>
        <v>101200652.40704325</v>
      </c>
      <c r="C71" s="3">
        <f>SUMIF(Trade_Log!$C:$C, A71, Trade_Log!$I:$I)</f>
        <v>0</v>
      </c>
      <c r="D71" s="3">
        <f>SUMIF(Trade_Log!$C:$C, A71, Trade_Log!$J:$J)</f>
        <v>0</v>
      </c>
      <c r="E71" s="3">
        <f t="shared" si="0"/>
        <v>0</v>
      </c>
      <c r="F71" s="3">
        <f>SUMIF(Trade_Log!$D:$D, A71, Trade_Log!$L:$L)</f>
        <v>0</v>
      </c>
      <c r="G71" s="3">
        <f t="shared" si="1"/>
        <v>101200652.40704325</v>
      </c>
      <c r="H71" s="3">
        <f>G71*Assumptions!$B$5/365</f>
        <v>16635.723683349574</v>
      </c>
      <c r="I71" s="3">
        <f>SUMIFS(Trade_Log!$I:$I, Trade_Log!$C:$C, "&lt;="&amp;A71, Trade_Log!$D:$D, "&gt;"&amp;A71)</f>
        <v>0</v>
      </c>
      <c r="J71" s="3">
        <f>SUMIFS(Trade_Log!$J:$J, Trade_Log!$C:$C, "&lt;="&amp;A71, Trade_Log!$D:$D, "&gt;"&amp;A71)</f>
        <v>0</v>
      </c>
      <c r="K71" s="3">
        <f t="shared" si="2"/>
        <v>101217288.13072659</v>
      </c>
      <c r="L71" s="3">
        <f t="shared" si="3"/>
        <v>101217288.13072659</v>
      </c>
    </row>
    <row r="72" spans="1:12" x14ac:dyDescent="0.3">
      <c r="A72" s="25">
        <v>45909</v>
      </c>
      <c r="B72" s="3">
        <f t="shared" si="4"/>
        <v>101217288.13072659</v>
      </c>
      <c r="C72" s="3">
        <f>SUMIF(Trade_Log!$C:$C, A72, Trade_Log!$I:$I)</f>
        <v>0</v>
      </c>
      <c r="D72" s="3">
        <f>SUMIF(Trade_Log!$C:$C, A72, Trade_Log!$J:$J)</f>
        <v>0</v>
      </c>
      <c r="E72" s="3">
        <f t="shared" si="0"/>
        <v>0</v>
      </c>
      <c r="F72" s="3">
        <f>SUMIF(Trade_Log!$D:$D, A72, Trade_Log!$L:$L)</f>
        <v>0</v>
      </c>
      <c r="G72" s="3">
        <f t="shared" si="1"/>
        <v>101217288.13072659</v>
      </c>
      <c r="H72" s="3">
        <f>G72*Assumptions!$B$5/365</f>
        <v>16638.458322859165</v>
      </c>
      <c r="I72" s="3">
        <f>SUMIFS(Trade_Log!$I:$I, Trade_Log!$C:$C, "&lt;="&amp;A72, Trade_Log!$D:$D, "&gt;"&amp;A72)</f>
        <v>0</v>
      </c>
      <c r="J72" s="3">
        <f>SUMIFS(Trade_Log!$J:$J, Trade_Log!$C:$C, "&lt;="&amp;A72, Trade_Log!$D:$D, "&gt;"&amp;A72)</f>
        <v>0</v>
      </c>
      <c r="K72" s="3">
        <f t="shared" si="2"/>
        <v>101233926.58904944</v>
      </c>
      <c r="L72" s="3">
        <f t="shared" si="3"/>
        <v>101233926.58904944</v>
      </c>
    </row>
    <row r="73" spans="1:12" x14ac:dyDescent="0.3">
      <c r="A73" s="25">
        <v>45910</v>
      </c>
      <c r="B73" s="3">
        <f t="shared" si="4"/>
        <v>101233926.58904944</v>
      </c>
      <c r="C73" s="3">
        <f>SUMIF(Trade_Log!$C:$C, A73, Trade_Log!$I:$I)</f>
        <v>0</v>
      </c>
      <c r="D73" s="3">
        <f>SUMIF(Trade_Log!$C:$C, A73, Trade_Log!$J:$J)</f>
        <v>0</v>
      </c>
      <c r="E73" s="3">
        <f t="shared" si="0"/>
        <v>0</v>
      </c>
      <c r="F73" s="3">
        <f>SUMIF(Trade_Log!$D:$D, A73, Trade_Log!$L:$L)</f>
        <v>0</v>
      </c>
      <c r="G73" s="3">
        <f t="shared" si="1"/>
        <v>101233926.58904944</v>
      </c>
      <c r="H73" s="3">
        <f>G73*Assumptions!$B$5/365</f>
        <v>16641.193411898537</v>
      </c>
      <c r="I73" s="3">
        <f>SUMIFS(Trade_Log!$I:$I, Trade_Log!$C:$C, "&lt;="&amp;A73, Trade_Log!$D:$D, "&gt;"&amp;A73)</f>
        <v>0</v>
      </c>
      <c r="J73" s="3">
        <f>SUMIFS(Trade_Log!$J:$J, Trade_Log!$C:$C, "&lt;="&amp;A73, Trade_Log!$D:$D, "&gt;"&amp;A73)</f>
        <v>0</v>
      </c>
      <c r="K73" s="3">
        <f t="shared" si="2"/>
        <v>101250567.78246135</v>
      </c>
      <c r="L73" s="3">
        <f t="shared" si="3"/>
        <v>101250567.78246135</v>
      </c>
    </row>
    <row r="74" spans="1:12" x14ac:dyDescent="0.3">
      <c r="A74" s="25">
        <v>45911</v>
      </c>
      <c r="B74" s="3">
        <f t="shared" si="4"/>
        <v>101250567.78246135</v>
      </c>
      <c r="C74" s="3">
        <f>SUMIF(Trade_Log!$C:$C, A74, Trade_Log!$I:$I)</f>
        <v>0</v>
      </c>
      <c r="D74" s="3">
        <f>SUMIF(Trade_Log!$C:$C, A74, Trade_Log!$J:$J)</f>
        <v>0</v>
      </c>
      <c r="E74" s="3">
        <f t="shared" si="0"/>
        <v>0</v>
      </c>
      <c r="F74" s="3">
        <f>SUMIF(Trade_Log!$D:$D, A74, Trade_Log!$L:$L)</f>
        <v>0</v>
      </c>
      <c r="G74" s="3">
        <f t="shared" si="1"/>
        <v>101250567.78246135</v>
      </c>
      <c r="H74" s="3">
        <f>G74*Assumptions!$B$5/365</f>
        <v>16643.928950541591</v>
      </c>
      <c r="I74" s="3">
        <f>SUMIFS(Trade_Log!$I:$I, Trade_Log!$C:$C, "&lt;="&amp;A74, Trade_Log!$D:$D, "&gt;"&amp;A74)</f>
        <v>0</v>
      </c>
      <c r="J74" s="3">
        <f>SUMIFS(Trade_Log!$J:$J, Trade_Log!$C:$C, "&lt;="&amp;A74, Trade_Log!$D:$D, "&gt;"&amp;A74)</f>
        <v>0</v>
      </c>
      <c r="K74" s="3">
        <f t="shared" si="2"/>
        <v>101267211.71141189</v>
      </c>
      <c r="L74" s="3">
        <f t="shared" si="3"/>
        <v>101267211.71141189</v>
      </c>
    </row>
    <row r="75" spans="1:12" x14ac:dyDescent="0.3">
      <c r="A75" s="25">
        <v>45912</v>
      </c>
      <c r="B75" s="3">
        <f t="shared" si="4"/>
        <v>101267211.71141189</v>
      </c>
      <c r="C75" s="3">
        <f>SUMIF(Trade_Log!$C:$C, A75, Trade_Log!$I:$I)</f>
        <v>0</v>
      </c>
      <c r="D75" s="3">
        <f>SUMIF(Trade_Log!$C:$C, A75, Trade_Log!$J:$J)</f>
        <v>0</v>
      </c>
      <c r="E75" s="3">
        <f t="shared" si="0"/>
        <v>0</v>
      </c>
      <c r="F75" s="3">
        <f>SUMIF(Trade_Log!$D:$D, A75, Trade_Log!$L:$L)</f>
        <v>0</v>
      </c>
      <c r="G75" s="3">
        <f t="shared" si="1"/>
        <v>101267211.71141189</v>
      </c>
      <c r="H75" s="3">
        <f>G75*Assumptions!$B$5/365</f>
        <v>16646.664938862228</v>
      </c>
      <c r="I75" s="3">
        <f>SUMIFS(Trade_Log!$I:$I, Trade_Log!$C:$C, "&lt;="&amp;A75, Trade_Log!$D:$D, "&gt;"&amp;A75)</f>
        <v>0</v>
      </c>
      <c r="J75" s="3">
        <f>SUMIFS(Trade_Log!$J:$J, Trade_Log!$C:$C, "&lt;="&amp;A75, Trade_Log!$D:$D, "&gt;"&amp;A75)</f>
        <v>0</v>
      </c>
      <c r="K75" s="3">
        <f t="shared" si="2"/>
        <v>101283858.37635076</v>
      </c>
      <c r="L75" s="3">
        <f t="shared" si="3"/>
        <v>101283858.37635076</v>
      </c>
    </row>
    <row r="76" spans="1:12" x14ac:dyDescent="0.3">
      <c r="A76" s="25">
        <v>45913</v>
      </c>
      <c r="B76" s="3">
        <f t="shared" si="4"/>
        <v>101283858.37635076</v>
      </c>
      <c r="C76" s="3">
        <f>SUMIF(Trade_Log!$C:$C, A76, Trade_Log!$I:$I)</f>
        <v>0</v>
      </c>
      <c r="D76" s="3">
        <f>SUMIF(Trade_Log!$C:$C, A76, Trade_Log!$J:$J)</f>
        <v>0</v>
      </c>
      <c r="E76" s="3">
        <f t="shared" si="0"/>
        <v>0</v>
      </c>
      <c r="F76" s="3">
        <f>SUMIF(Trade_Log!$D:$D, A76, Trade_Log!$L:$L)</f>
        <v>0</v>
      </c>
      <c r="G76" s="3">
        <f t="shared" si="1"/>
        <v>101283858.37635076</v>
      </c>
      <c r="H76" s="3">
        <f>G76*Assumptions!$B$5/365</f>
        <v>16649.401376934369</v>
      </c>
      <c r="I76" s="3">
        <f>SUMIFS(Trade_Log!$I:$I, Trade_Log!$C:$C, "&lt;="&amp;A76, Trade_Log!$D:$D, "&gt;"&amp;A76)</f>
        <v>0</v>
      </c>
      <c r="J76" s="3">
        <f>SUMIFS(Trade_Log!$J:$J, Trade_Log!$C:$C, "&lt;="&amp;A76, Trade_Log!$D:$D, "&gt;"&amp;A76)</f>
        <v>0</v>
      </c>
      <c r="K76" s="3">
        <f t="shared" si="2"/>
        <v>101300507.77772769</v>
      </c>
      <c r="L76" s="3">
        <f t="shared" si="3"/>
        <v>101300507.77772769</v>
      </c>
    </row>
    <row r="77" spans="1:12" x14ac:dyDescent="0.3">
      <c r="A77" s="25">
        <v>45914</v>
      </c>
      <c r="B77" s="3">
        <f t="shared" si="4"/>
        <v>101300507.77772769</v>
      </c>
      <c r="C77" s="3">
        <f>SUMIF(Trade_Log!$C:$C, A77, Trade_Log!$I:$I)</f>
        <v>0</v>
      </c>
      <c r="D77" s="3">
        <f>SUMIF(Trade_Log!$C:$C, A77, Trade_Log!$J:$J)</f>
        <v>0</v>
      </c>
      <c r="E77" s="3">
        <f t="shared" si="0"/>
        <v>0</v>
      </c>
      <c r="F77" s="3">
        <f>SUMIF(Trade_Log!$D:$D, A77, Trade_Log!$L:$L)</f>
        <v>0</v>
      </c>
      <c r="G77" s="3">
        <f t="shared" si="1"/>
        <v>101300507.77772769</v>
      </c>
      <c r="H77" s="3">
        <f>G77*Assumptions!$B$5/365</f>
        <v>16652.138264831949</v>
      </c>
      <c r="I77" s="3">
        <f>SUMIFS(Trade_Log!$I:$I, Trade_Log!$C:$C, "&lt;="&amp;A77, Trade_Log!$D:$D, "&gt;"&amp;A77)</f>
        <v>0</v>
      </c>
      <c r="J77" s="3">
        <f>SUMIFS(Trade_Log!$J:$J, Trade_Log!$C:$C, "&lt;="&amp;A77, Trade_Log!$D:$D, "&gt;"&amp;A77)</f>
        <v>0</v>
      </c>
      <c r="K77" s="3">
        <f t="shared" si="2"/>
        <v>101317159.91599253</v>
      </c>
      <c r="L77" s="3">
        <f t="shared" si="3"/>
        <v>101317159.91599253</v>
      </c>
    </row>
    <row r="78" spans="1:12" x14ac:dyDescent="0.3">
      <c r="A78" s="25">
        <v>45915</v>
      </c>
      <c r="B78" s="3">
        <f t="shared" si="4"/>
        <v>101317159.91599253</v>
      </c>
      <c r="C78" s="3">
        <f>SUMIF(Trade_Log!$C:$C, A78, Trade_Log!$I:$I)</f>
        <v>0</v>
      </c>
      <c r="D78" s="3">
        <f>SUMIF(Trade_Log!$C:$C, A78, Trade_Log!$J:$J)</f>
        <v>0</v>
      </c>
      <c r="E78" s="3">
        <f t="shared" si="0"/>
        <v>0</v>
      </c>
      <c r="F78" s="3">
        <f>SUMIF(Trade_Log!$D:$D, A78, Trade_Log!$L:$L)</f>
        <v>0</v>
      </c>
      <c r="G78" s="3">
        <f t="shared" si="1"/>
        <v>101317159.91599253</v>
      </c>
      <c r="H78" s="3">
        <f>G78*Assumptions!$B$5/365</f>
        <v>16654.875602628908</v>
      </c>
      <c r="I78" s="3">
        <f>SUMIFS(Trade_Log!$I:$I, Trade_Log!$C:$C, "&lt;="&amp;A78, Trade_Log!$D:$D, "&gt;"&amp;A78)</f>
        <v>0</v>
      </c>
      <c r="J78" s="3">
        <f>SUMIFS(Trade_Log!$J:$J, Trade_Log!$C:$C, "&lt;="&amp;A78, Trade_Log!$D:$D, "&gt;"&amp;A78)</f>
        <v>0</v>
      </c>
      <c r="K78" s="3">
        <f t="shared" si="2"/>
        <v>101333814.79159516</v>
      </c>
      <c r="L78" s="3">
        <f t="shared" si="3"/>
        <v>101333814.79159516</v>
      </c>
    </row>
    <row r="79" spans="1:12" x14ac:dyDescent="0.3">
      <c r="A79" s="25">
        <v>45916</v>
      </c>
      <c r="B79" s="3">
        <f t="shared" si="4"/>
        <v>101333814.79159516</v>
      </c>
      <c r="C79" s="3">
        <f>SUMIF(Trade_Log!$C:$C, A79, Trade_Log!$I:$I)</f>
        <v>0</v>
      </c>
      <c r="D79" s="3">
        <f>SUMIF(Trade_Log!$C:$C, A79, Trade_Log!$J:$J)</f>
        <v>0</v>
      </c>
      <c r="E79" s="3">
        <f t="shared" si="0"/>
        <v>0</v>
      </c>
      <c r="F79" s="3">
        <f>SUMIF(Trade_Log!$D:$D, A79, Trade_Log!$L:$L)</f>
        <v>0</v>
      </c>
      <c r="G79" s="3">
        <f t="shared" si="1"/>
        <v>101333814.79159516</v>
      </c>
      <c r="H79" s="3">
        <f>G79*Assumptions!$B$5/365</f>
        <v>16657.613390399205</v>
      </c>
      <c r="I79" s="3">
        <f>SUMIFS(Trade_Log!$I:$I, Trade_Log!$C:$C, "&lt;="&amp;A79, Trade_Log!$D:$D, "&gt;"&amp;A79)</f>
        <v>0</v>
      </c>
      <c r="J79" s="3">
        <f>SUMIFS(Trade_Log!$J:$J, Trade_Log!$C:$C, "&lt;="&amp;A79, Trade_Log!$D:$D, "&gt;"&amp;A79)</f>
        <v>0</v>
      </c>
      <c r="K79" s="3">
        <f t="shared" si="2"/>
        <v>101350472.40498556</v>
      </c>
      <c r="L79" s="3">
        <f t="shared" si="3"/>
        <v>101350472.40498556</v>
      </c>
    </row>
    <row r="80" spans="1:12" x14ac:dyDescent="0.3">
      <c r="A80" s="25">
        <v>45917</v>
      </c>
      <c r="B80" s="3">
        <f t="shared" si="4"/>
        <v>101350472.40498556</v>
      </c>
      <c r="C80" s="3">
        <f>SUMIF(Trade_Log!$C:$C, A80, Trade_Log!$I:$I)</f>
        <v>0</v>
      </c>
      <c r="D80" s="3">
        <f>SUMIF(Trade_Log!$C:$C, A80, Trade_Log!$J:$J)</f>
        <v>0</v>
      </c>
      <c r="E80" s="3">
        <f t="shared" si="0"/>
        <v>0</v>
      </c>
      <c r="F80" s="3">
        <f>SUMIF(Trade_Log!$D:$D, A80, Trade_Log!$L:$L)</f>
        <v>0</v>
      </c>
      <c r="G80" s="3">
        <f t="shared" si="1"/>
        <v>101350472.40498556</v>
      </c>
      <c r="H80" s="3">
        <f>G80*Assumptions!$B$5/365</f>
        <v>16660.351628216806</v>
      </c>
      <c r="I80" s="3">
        <f>SUMIFS(Trade_Log!$I:$I, Trade_Log!$C:$C, "&lt;="&amp;A80, Trade_Log!$D:$D, "&gt;"&amp;A80)</f>
        <v>0</v>
      </c>
      <c r="J80" s="3">
        <f>SUMIFS(Trade_Log!$J:$J, Trade_Log!$C:$C, "&lt;="&amp;A80, Trade_Log!$D:$D, "&gt;"&amp;A80)</f>
        <v>0</v>
      </c>
      <c r="K80" s="3">
        <f t="shared" si="2"/>
        <v>101367132.75661378</v>
      </c>
      <c r="L80" s="3">
        <f t="shared" si="3"/>
        <v>101367132.75661378</v>
      </c>
    </row>
    <row r="81" spans="1:12" x14ac:dyDescent="0.3">
      <c r="A81" s="25">
        <v>45918</v>
      </c>
      <c r="B81" s="3">
        <f t="shared" si="4"/>
        <v>101367132.75661378</v>
      </c>
      <c r="C81" s="3">
        <f>SUMIF(Trade_Log!$C:$C, A81, Trade_Log!$I:$I)</f>
        <v>0</v>
      </c>
      <c r="D81" s="3">
        <f>SUMIF(Trade_Log!$C:$C, A81, Trade_Log!$J:$J)</f>
        <v>0</v>
      </c>
      <c r="E81" s="3">
        <f t="shared" si="0"/>
        <v>0</v>
      </c>
      <c r="F81" s="3">
        <f>SUMIF(Trade_Log!$D:$D, A81, Trade_Log!$L:$L)</f>
        <v>0</v>
      </c>
      <c r="G81" s="3">
        <f t="shared" si="1"/>
        <v>101367132.75661378</v>
      </c>
      <c r="H81" s="3">
        <f>G81*Assumptions!$B$5/365</f>
        <v>16663.090316155689</v>
      </c>
      <c r="I81" s="3">
        <f>SUMIFS(Trade_Log!$I:$I, Trade_Log!$C:$C, "&lt;="&amp;A81, Trade_Log!$D:$D, "&gt;"&amp;A81)</f>
        <v>0</v>
      </c>
      <c r="J81" s="3">
        <f>SUMIFS(Trade_Log!$J:$J, Trade_Log!$C:$C, "&lt;="&amp;A81, Trade_Log!$D:$D, "&gt;"&amp;A81)</f>
        <v>0</v>
      </c>
      <c r="K81" s="3">
        <f t="shared" si="2"/>
        <v>101383795.84692994</v>
      </c>
      <c r="L81" s="3">
        <f t="shared" si="3"/>
        <v>101383795.84692994</v>
      </c>
    </row>
    <row r="82" spans="1:12" x14ac:dyDescent="0.3">
      <c r="A82" s="25">
        <v>45919</v>
      </c>
      <c r="B82" s="3">
        <f t="shared" si="4"/>
        <v>101383795.84692994</v>
      </c>
      <c r="C82" s="3">
        <f>SUMIF(Trade_Log!$C:$C, A82, Trade_Log!$I:$I)</f>
        <v>0</v>
      </c>
      <c r="D82" s="3">
        <f>SUMIF(Trade_Log!$C:$C, A82, Trade_Log!$J:$J)</f>
        <v>0</v>
      </c>
      <c r="E82" s="3">
        <f t="shared" si="0"/>
        <v>0</v>
      </c>
      <c r="F82" s="3">
        <f>SUMIF(Trade_Log!$D:$D, A82, Trade_Log!$L:$L)</f>
        <v>0</v>
      </c>
      <c r="G82" s="3">
        <f t="shared" si="1"/>
        <v>101383795.84692994</v>
      </c>
      <c r="H82" s="3">
        <f>G82*Assumptions!$B$5/365</f>
        <v>16665.829454289851</v>
      </c>
      <c r="I82" s="3">
        <f>SUMIFS(Trade_Log!$I:$I, Trade_Log!$C:$C, "&lt;="&amp;A82, Trade_Log!$D:$D, "&gt;"&amp;A82)</f>
        <v>0</v>
      </c>
      <c r="J82" s="3">
        <f>SUMIFS(Trade_Log!$J:$J, Trade_Log!$C:$C, "&lt;="&amp;A82, Trade_Log!$D:$D, "&gt;"&amp;A82)</f>
        <v>0</v>
      </c>
      <c r="K82" s="3">
        <f t="shared" si="2"/>
        <v>101400461.67638423</v>
      </c>
      <c r="L82" s="3">
        <f t="shared" si="3"/>
        <v>101400461.67638423</v>
      </c>
    </row>
    <row r="83" spans="1:12" x14ac:dyDescent="0.3">
      <c r="A83" s="25">
        <v>45920</v>
      </c>
      <c r="B83" s="3">
        <f t="shared" si="4"/>
        <v>101400461.67638423</v>
      </c>
      <c r="C83" s="3">
        <f>SUMIF(Trade_Log!$C:$C, A83, Trade_Log!$I:$I)</f>
        <v>0</v>
      </c>
      <c r="D83" s="3">
        <f>SUMIF(Trade_Log!$C:$C, A83, Trade_Log!$J:$J)</f>
        <v>0</v>
      </c>
      <c r="E83" s="3">
        <f t="shared" si="0"/>
        <v>0</v>
      </c>
      <c r="F83" s="3">
        <f>SUMIF(Trade_Log!$D:$D, A83, Trade_Log!$L:$L)</f>
        <v>0</v>
      </c>
      <c r="G83" s="3">
        <f t="shared" si="1"/>
        <v>101400461.67638423</v>
      </c>
      <c r="H83" s="3">
        <f>G83*Assumptions!$B$5/365</f>
        <v>16668.5690426933</v>
      </c>
      <c r="I83" s="3">
        <f>SUMIFS(Trade_Log!$I:$I, Trade_Log!$C:$C, "&lt;="&amp;A83, Trade_Log!$D:$D, "&gt;"&amp;A83)</f>
        <v>0</v>
      </c>
      <c r="J83" s="3">
        <f>SUMIFS(Trade_Log!$J:$J, Trade_Log!$C:$C, "&lt;="&amp;A83, Trade_Log!$D:$D, "&gt;"&amp;A83)</f>
        <v>0</v>
      </c>
      <c r="K83" s="3">
        <f t="shared" si="2"/>
        <v>101417130.24542692</v>
      </c>
      <c r="L83" s="3">
        <f t="shared" si="3"/>
        <v>101417130.24542692</v>
      </c>
    </row>
    <row r="84" spans="1:12" x14ac:dyDescent="0.3">
      <c r="A84" s="25">
        <v>45921</v>
      </c>
      <c r="B84" s="3">
        <f t="shared" si="4"/>
        <v>101417130.24542692</v>
      </c>
      <c r="C84" s="3">
        <f>SUMIF(Trade_Log!$C:$C, A84, Trade_Log!$I:$I)</f>
        <v>0</v>
      </c>
      <c r="D84" s="3">
        <f>SUMIF(Trade_Log!$C:$C, A84, Trade_Log!$J:$J)</f>
        <v>0</v>
      </c>
      <c r="E84" s="3">
        <f t="shared" si="0"/>
        <v>0</v>
      </c>
      <c r="F84" s="3">
        <f>SUMIF(Trade_Log!$D:$D, A84, Trade_Log!$L:$L)</f>
        <v>0</v>
      </c>
      <c r="G84" s="3">
        <f t="shared" si="1"/>
        <v>101417130.24542692</v>
      </c>
      <c r="H84" s="3">
        <f>G84*Assumptions!$B$5/365</f>
        <v>16671.309081440042</v>
      </c>
      <c r="I84" s="3">
        <f>SUMIFS(Trade_Log!$I:$I, Trade_Log!$C:$C, "&lt;="&amp;A84, Trade_Log!$D:$D, "&gt;"&amp;A84)</f>
        <v>0</v>
      </c>
      <c r="J84" s="3">
        <f>SUMIFS(Trade_Log!$J:$J, Trade_Log!$C:$C, "&lt;="&amp;A84, Trade_Log!$D:$D, "&gt;"&amp;A84)</f>
        <v>0</v>
      </c>
      <c r="K84" s="3">
        <f t="shared" si="2"/>
        <v>101433801.55450836</v>
      </c>
      <c r="L84" s="3">
        <f t="shared" si="3"/>
        <v>101433801.55450836</v>
      </c>
    </row>
    <row r="85" spans="1:12" x14ac:dyDescent="0.3">
      <c r="A85" s="25">
        <v>45922</v>
      </c>
      <c r="B85" s="3">
        <f t="shared" si="4"/>
        <v>101433801.55450836</v>
      </c>
      <c r="C85" s="3">
        <f>SUMIF(Trade_Log!$C:$C, A85, Trade_Log!$I:$I)</f>
        <v>0</v>
      </c>
      <c r="D85" s="3">
        <f>SUMIF(Trade_Log!$C:$C, A85, Trade_Log!$J:$J)</f>
        <v>0</v>
      </c>
      <c r="E85" s="3">
        <f t="shared" si="0"/>
        <v>0</v>
      </c>
      <c r="F85" s="3">
        <f>SUMIF(Trade_Log!$D:$D, A85, Trade_Log!$L:$L)</f>
        <v>0</v>
      </c>
      <c r="G85" s="3">
        <f t="shared" si="1"/>
        <v>101433801.55450836</v>
      </c>
      <c r="H85" s="3">
        <f>G85*Assumptions!$B$5/365</f>
        <v>16674.049570604111</v>
      </c>
      <c r="I85" s="3">
        <f>SUMIFS(Trade_Log!$I:$I, Trade_Log!$C:$C, "&lt;="&amp;A85, Trade_Log!$D:$D, "&gt;"&amp;A85)</f>
        <v>0</v>
      </c>
      <c r="J85" s="3">
        <f>SUMIFS(Trade_Log!$J:$J, Trade_Log!$C:$C, "&lt;="&amp;A85, Trade_Log!$D:$D, "&gt;"&amp;A85)</f>
        <v>0</v>
      </c>
      <c r="K85" s="3">
        <f t="shared" si="2"/>
        <v>101450475.60407896</v>
      </c>
      <c r="L85" s="3">
        <f t="shared" si="3"/>
        <v>101450475.60407896</v>
      </c>
    </row>
    <row r="86" spans="1:12" x14ac:dyDescent="0.3">
      <c r="A86" s="25">
        <v>45923</v>
      </c>
      <c r="B86" s="3">
        <f t="shared" si="4"/>
        <v>101450475.60407896</v>
      </c>
      <c r="C86" s="3">
        <f>SUMIF(Trade_Log!$C:$C, A86, Trade_Log!$I:$I)</f>
        <v>27114650.549999997</v>
      </c>
      <c r="D86" s="3">
        <f>SUMIF(Trade_Log!$C:$C, A86, Trade_Log!$J:$J)</f>
        <v>5440110</v>
      </c>
      <c r="E86" s="3">
        <f t="shared" si="0"/>
        <v>-32554760.549999997</v>
      </c>
      <c r="F86" s="3">
        <f>SUMIF(Trade_Log!$D:$D, A86, Trade_Log!$L:$L)</f>
        <v>0</v>
      </c>
      <c r="G86" s="3">
        <f t="shared" si="1"/>
        <v>68895715.054078966</v>
      </c>
      <c r="H86" s="3">
        <f>G86*Assumptions!$B$5/365</f>
        <v>11325.323022588324</v>
      </c>
      <c r="I86" s="3">
        <f>SUMIFS(Trade_Log!$I:$I, Trade_Log!$C:$C, "&lt;="&amp;A86, Trade_Log!$D:$D, "&gt;"&amp;A86)</f>
        <v>27114650.549999997</v>
      </c>
      <c r="J86" s="3">
        <f>SUMIFS(Trade_Log!$J:$J, Trade_Log!$C:$C, "&lt;="&amp;A86, Trade_Log!$D:$D, "&gt;"&amp;A86)</f>
        <v>5440110</v>
      </c>
      <c r="K86" s="3">
        <f t="shared" si="2"/>
        <v>68907040.377101555</v>
      </c>
      <c r="L86" s="3">
        <f t="shared" si="3"/>
        <v>101461800.92710155</v>
      </c>
    </row>
    <row r="87" spans="1:12" x14ac:dyDescent="0.3">
      <c r="A87" s="25">
        <v>45924</v>
      </c>
      <c r="B87" s="3">
        <f t="shared" si="4"/>
        <v>68907040.377101555</v>
      </c>
      <c r="C87" s="3">
        <f>SUMIF(Trade_Log!$C:$C, A87, Trade_Log!$I:$I)</f>
        <v>25162655.039999999</v>
      </c>
      <c r="D87" s="3">
        <f>SUMIF(Trade_Log!$C:$C, A87, Trade_Log!$J:$J)</f>
        <v>5047104</v>
      </c>
      <c r="E87" s="3">
        <f t="shared" si="0"/>
        <v>-30209759.039999999</v>
      </c>
      <c r="F87" s="3">
        <f>SUMIF(Trade_Log!$D:$D, A87, Trade_Log!$L:$L)</f>
        <v>0</v>
      </c>
      <c r="G87" s="3">
        <f t="shared" si="1"/>
        <v>38697281.337101556</v>
      </c>
      <c r="H87" s="3">
        <f>G87*Assumptions!$B$5/365</f>
        <v>6361.1969321262832</v>
      </c>
      <c r="I87" s="3">
        <f>SUMIFS(Trade_Log!$I:$I, Trade_Log!$C:$C, "&lt;="&amp;A87, Trade_Log!$D:$D, "&gt;"&amp;A87)</f>
        <v>52277305.589999996</v>
      </c>
      <c r="J87" s="3">
        <f>SUMIFS(Trade_Log!$J:$J, Trade_Log!$C:$C, "&lt;="&amp;A87, Trade_Log!$D:$D, "&gt;"&amp;A87)</f>
        <v>10487214</v>
      </c>
      <c r="K87" s="3">
        <f t="shared" si="2"/>
        <v>38703642.534033686</v>
      </c>
      <c r="L87" s="3">
        <f t="shared" si="3"/>
        <v>101468162.12403369</v>
      </c>
    </row>
    <row r="88" spans="1:12" x14ac:dyDescent="0.3">
      <c r="A88" s="25">
        <v>45925</v>
      </c>
      <c r="B88" s="3">
        <f t="shared" si="4"/>
        <v>38703642.534033686</v>
      </c>
      <c r="C88" s="3">
        <f>SUMIF(Trade_Log!$C:$C, A88, Trade_Log!$I:$I)</f>
        <v>21463926.600000001</v>
      </c>
      <c r="D88" s="3">
        <f>SUMIF(Trade_Log!$C:$C, A88, Trade_Log!$J:$J)</f>
        <v>4304800</v>
      </c>
      <c r="E88" s="3">
        <f t="shared" si="0"/>
        <v>-25768726.600000001</v>
      </c>
      <c r="F88" s="3">
        <f>SUMIF(Trade_Log!$D:$D, A88, Trade_Log!$L:$L)</f>
        <v>0</v>
      </c>
      <c r="G88" s="3">
        <f t="shared" si="1"/>
        <v>12934915.934033684</v>
      </c>
      <c r="H88" s="3">
        <f>G88*Assumptions!$B$5/365</f>
        <v>2126.2875508000575</v>
      </c>
      <c r="I88" s="3">
        <f>SUMIFS(Trade_Log!$I:$I, Trade_Log!$C:$C, "&lt;="&amp;A88, Trade_Log!$D:$D, "&gt;"&amp;A88)</f>
        <v>73741232.189999998</v>
      </c>
      <c r="J88" s="3">
        <f>SUMIFS(Trade_Log!$J:$J, Trade_Log!$C:$C, "&lt;="&amp;A88, Trade_Log!$D:$D, "&gt;"&amp;A88)</f>
        <v>14792014</v>
      </c>
      <c r="K88" s="3">
        <f t="shared" si="2"/>
        <v>12937042.221584484</v>
      </c>
      <c r="L88" s="3">
        <f t="shared" si="3"/>
        <v>101470288.41158448</v>
      </c>
    </row>
    <row r="89" spans="1:12" x14ac:dyDescent="0.3">
      <c r="A89" s="25">
        <v>45926</v>
      </c>
      <c r="B89" s="3">
        <f t="shared" si="4"/>
        <v>12937042.221584484</v>
      </c>
      <c r="C89" s="3">
        <f>SUMIF(Trade_Log!$C:$C, A89, Trade_Log!$I:$I)</f>
        <v>0</v>
      </c>
      <c r="D89" s="3">
        <f>SUMIF(Trade_Log!$C:$C, A89, Trade_Log!$J:$J)</f>
        <v>0</v>
      </c>
      <c r="E89" s="3">
        <f t="shared" si="0"/>
        <v>0</v>
      </c>
      <c r="F89" s="3">
        <f>SUMIF(Trade_Log!$D:$D, A89, Trade_Log!$L:$L)</f>
        <v>0</v>
      </c>
      <c r="G89" s="3">
        <f t="shared" si="1"/>
        <v>12937042.221584484</v>
      </c>
      <c r="H89" s="3">
        <f>G89*Assumptions!$B$5/365</f>
        <v>2126.637077520737</v>
      </c>
      <c r="I89" s="3">
        <f>SUMIFS(Trade_Log!$I:$I, Trade_Log!$C:$C, "&lt;="&amp;A89, Trade_Log!$D:$D, "&gt;"&amp;A89)</f>
        <v>73741232.189999998</v>
      </c>
      <c r="J89" s="3">
        <f>SUMIFS(Trade_Log!$J:$J, Trade_Log!$C:$C, "&lt;="&amp;A89, Trade_Log!$D:$D, "&gt;"&amp;A89)</f>
        <v>14792014</v>
      </c>
      <c r="K89" s="3">
        <f t="shared" si="2"/>
        <v>12939168.858662006</v>
      </c>
      <c r="L89" s="3">
        <f t="shared" si="3"/>
        <v>101472415.04866201</v>
      </c>
    </row>
    <row r="90" spans="1:12" x14ac:dyDescent="0.3">
      <c r="A90" s="25">
        <v>45927</v>
      </c>
      <c r="B90" s="3">
        <f t="shared" si="4"/>
        <v>12939168.858662006</v>
      </c>
      <c r="C90" s="3">
        <f>SUMIF(Trade_Log!$C:$C, A90, Trade_Log!$I:$I)</f>
        <v>0</v>
      </c>
      <c r="D90" s="3">
        <f>SUMIF(Trade_Log!$C:$C, A90, Trade_Log!$J:$J)</f>
        <v>0</v>
      </c>
      <c r="E90" s="3">
        <f t="shared" si="0"/>
        <v>0</v>
      </c>
      <c r="F90" s="3">
        <f>SUMIF(Trade_Log!$D:$D, A90, Trade_Log!$L:$L)</f>
        <v>0</v>
      </c>
      <c r="G90" s="3">
        <f t="shared" si="1"/>
        <v>12939168.858662006</v>
      </c>
      <c r="H90" s="3">
        <f>G90*Assumptions!$B$5/365</f>
        <v>2126.9866616978638</v>
      </c>
      <c r="I90" s="3">
        <f>SUMIFS(Trade_Log!$I:$I, Trade_Log!$C:$C, "&lt;="&amp;A90, Trade_Log!$D:$D, "&gt;"&amp;A90)</f>
        <v>73741232.189999998</v>
      </c>
      <c r="J90" s="3">
        <f>SUMIFS(Trade_Log!$J:$J, Trade_Log!$C:$C, "&lt;="&amp;A90, Trade_Log!$D:$D, "&gt;"&amp;A90)</f>
        <v>14792014</v>
      </c>
      <c r="K90" s="3">
        <f t="shared" si="2"/>
        <v>12941295.845323704</v>
      </c>
      <c r="L90" s="3">
        <f t="shared" si="3"/>
        <v>101474542.03532371</v>
      </c>
    </row>
    <row r="91" spans="1:12" x14ac:dyDescent="0.3">
      <c r="A91" s="25">
        <v>45928</v>
      </c>
      <c r="B91" s="3">
        <f t="shared" si="4"/>
        <v>12941295.845323704</v>
      </c>
      <c r="C91" s="3">
        <f>SUMIF(Trade_Log!$C:$C, A91, Trade_Log!$I:$I)</f>
        <v>0</v>
      </c>
      <c r="D91" s="3">
        <f>SUMIF(Trade_Log!$C:$C, A91, Trade_Log!$J:$J)</f>
        <v>0</v>
      </c>
      <c r="E91" s="3">
        <f t="shared" si="0"/>
        <v>0</v>
      </c>
      <c r="F91" s="3">
        <f>SUMIF(Trade_Log!$D:$D, A91, Trade_Log!$L:$L)</f>
        <v>0</v>
      </c>
      <c r="G91" s="3">
        <f t="shared" si="1"/>
        <v>12941295.845323704</v>
      </c>
      <c r="H91" s="3">
        <f>G91*Assumptions!$B$5/365</f>
        <v>2127.3363033408828</v>
      </c>
      <c r="I91" s="3">
        <f>SUMIFS(Trade_Log!$I:$I, Trade_Log!$C:$C, "&lt;="&amp;A91, Trade_Log!$D:$D, "&gt;"&amp;A91)</f>
        <v>73741232.189999998</v>
      </c>
      <c r="J91" s="3">
        <f>SUMIFS(Trade_Log!$J:$J, Trade_Log!$C:$C, "&lt;="&amp;A91, Trade_Log!$D:$D, "&gt;"&amp;A91)</f>
        <v>14792014</v>
      </c>
      <c r="K91" s="3">
        <f t="shared" si="2"/>
        <v>12943423.181627044</v>
      </c>
      <c r="L91" s="3">
        <f t="shared" si="3"/>
        <v>101476669.37162705</v>
      </c>
    </row>
    <row r="92" spans="1:12" x14ac:dyDescent="0.3">
      <c r="A92" s="25">
        <v>45929</v>
      </c>
      <c r="B92" s="3">
        <f t="shared" si="4"/>
        <v>12943423.181627044</v>
      </c>
      <c r="C92" s="3">
        <f>SUMIF(Trade_Log!$C:$C, A92, Trade_Log!$I:$I)</f>
        <v>3766132.125</v>
      </c>
      <c r="D92" s="3">
        <f>SUMIF(Trade_Log!$C:$C, A92, Trade_Log!$J:$J)</f>
        <v>754800</v>
      </c>
      <c r="E92" s="3">
        <f t="shared" si="0"/>
        <v>-4520932.125</v>
      </c>
      <c r="F92" s="3">
        <f>SUMIF(Trade_Log!$D:$D, A92, Trade_Log!$L:$L)</f>
        <v>0</v>
      </c>
      <c r="G92" s="3">
        <f t="shared" si="1"/>
        <v>8422491.0566270445</v>
      </c>
      <c r="H92" s="3">
        <f>G92*Assumptions!$B$5/365</f>
        <v>1384.5190778017059</v>
      </c>
      <c r="I92" s="3">
        <f>SUMIFS(Trade_Log!$I:$I, Trade_Log!$C:$C, "&lt;="&amp;A92, Trade_Log!$D:$D, "&gt;"&amp;A92)</f>
        <v>77507364.314999998</v>
      </c>
      <c r="J92" s="3">
        <f>SUMIFS(Trade_Log!$J:$J, Trade_Log!$C:$C, "&lt;="&amp;A92, Trade_Log!$D:$D, "&gt;"&amp;A92)</f>
        <v>15546814</v>
      </c>
      <c r="K92" s="3">
        <f t="shared" si="2"/>
        <v>8423875.5757048465</v>
      </c>
      <c r="L92" s="3">
        <f t="shared" si="3"/>
        <v>101478053.89070484</v>
      </c>
    </row>
    <row r="93" spans="1:12" x14ac:dyDescent="0.3">
      <c r="A93" s="25">
        <v>45930</v>
      </c>
      <c r="B93" s="3">
        <f t="shared" si="4"/>
        <v>8423875.5757048465</v>
      </c>
      <c r="C93" s="3">
        <f>SUMIF(Trade_Log!$C:$C, A93, Trade_Log!$I:$I)</f>
        <v>0</v>
      </c>
      <c r="D93" s="3">
        <f>SUMIF(Trade_Log!$C:$C, A93, Trade_Log!$J:$J)</f>
        <v>0</v>
      </c>
      <c r="E93" s="3">
        <f t="shared" si="0"/>
        <v>0</v>
      </c>
      <c r="F93" s="3">
        <f>SUMIF(Trade_Log!$D:$D, A93, Trade_Log!$L:$L)</f>
        <v>93242665.828999996</v>
      </c>
      <c r="G93" s="3">
        <f t="shared" si="1"/>
        <v>101666541.40470484</v>
      </c>
      <c r="H93" s="3">
        <f>G93*Assumptions!$B$5/365</f>
        <v>16712.308176115865</v>
      </c>
      <c r="I93" s="3">
        <f>SUMIFS(Trade_Log!$I:$I, Trade_Log!$C:$C, "&lt;="&amp;A93, Trade_Log!$D:$D, "&gt;"&amp;A93)</f>
        <v>0</v>
      </c>
      <c r="J93" s="3">
        <f>SUMIFS(Trade_Log!$J:$J, Trade_Log!$C:$C, "&lt;="&amp;A93, Trade_Log!$D:$D, "&gt;"&amp;A93)</f>
        <v>0</v>
      </c>
      <c r="K93" s="3">
        <f t="shared" si="2"/>
        <v>101683253.71288095</v>
      </c>
      <c r="L93" s="3">
        <f t="shared" si="3"/>
        <v>101683253.71288095</v>
      </c>
    </row>
    <row r="94" spans="1:12" x14ac:dyDescent="0.3">
      <c r="A94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E65"/>
  <sheetViews>
    <sheetView workbookViewId="0"/>
  </sheetViews>
  <sheetFormatPr defaultColWidth="14.44140625" defaultRowHeight="15" customHeight="1" x14ac:dyDescent="0.3"/>
  <sheetData>
    <row r="1" spans="1:57" x14ac:dyDescent="0.3">
      <c r="A1" s="23" t="s">
        <v>78</v>
      </c>
      <c r="B1" s="23" t="s">
        <v>79</v>
      </c>
      <c r="C1" s="23" t="s">
        <v>80</v>
      </c>
      <c r="D1" s="23" t="s">
        <v>81</v>
      </c>
      <c r="E1" s="23" t="s">
        <v>82</v>
      </c>
      <c r="F1" s="23" t="s">
        <v>83</v>
      </c>
      <c r="G1" s="23" t="s">
        <v>84</v>
      </c>
      <c r="H1" s="23" t="s">
        <v>85</v>
      </c>
      <c r="I1" s="23" t="s">
        <v>86</v>
      </c>
      <c r="J1" s="23" t="s">
        <v>87</v>
      </c>
      <c r="K1" s="23" t="s">
        <v>88</v>
      </c>
      <c r="L1" s="23" t="s">
        <v>89</v>
      </c>
      <c r="M1" s="23" t="s">
        <v>90</v>
      </c>
      <c r="N1" s="23" t="s">
        <v>91</v>
      </c>
      <c r="O1" s="23" t="s">
        <v>92</v>
      </c>
      <c r="P1" s="23" t="s">
        <v>93</v>
      </c>
      <c r="Q1" s="23" t="s">
        <v>94</v>
      </c>
      <c r="R1" s="23" t="s">
        <v>95</v>
      </c>
      <c r="S1" s="23" t="s">
        <v>96</v>
      </c>
      <c r="T1" s="23" t="s">
        <v>97</v>
      </c>
      <c r="U1" s="23" t="s">
        <v>98</v>
      </c>
      <c r="V1" s="23" t="s">
        <v>99</v>
      </c>
      <c r="W1" s="23" t="s">
        <v>100</v>
      </c>
      <c r="X1" s="23" t="s">
        <v>90</v>
      </c>
      <c r="Y1" s="23" t="s">
        <v>101</v>
      </c>
      <c r="Z1" s="23" t="s">
        <v>102</v>
      </c>
      <c r="AA1" s="23" t="s">
        <v>103</v>
      </c>
      <c r="AB1" s="23" t="s">
        <v>92</v>
      </c>
      <c r="AC1" s="23" t="s">
        <v>93</v>
      </c>
      <c r="AD1" s="23" t="s">
        <v>104</v>
      </c>
      <c r="AE1" s="23" t="s">
        <v>105</v>
      </c>
      <c r="AF1" s="23" t="s">
        <v>94</v>
      </c>
      <c r="AG1" s="23" t="s">
        <v>95</v>
      </c>
      <c r="AH1" s="23" t="s">
        <v>96</v>
      </c>
      <c r="AI1" s="23" t="s">
        <v>97</v>
      </c>
      <c r="AJ1" s="23" t="s">
        <v>98</v>
      </c>
      <c r="AK1" s="23" t="s">
        <v>99</v>
      </c>
      <c r="AL1" s="23" t="s">
        <v>100</v>
      </c>
      <c r="AM1" s="23" t="s">
        <v>90</v>
      </c>
      <c r="AN1" s="23" t="s">
        <v>101</v>
      </c>
      <c r="AO1" s="23" t="s">
        <v>102</v>
      </c>
      <c r="AP1" s="23" t="s">
        <v>103</v>
      </c>
      <c r="AQ1" s="23" t="s">
        <v>92</v>
      </c>
      <c r="AR1" s="23" t="s">
        <v>93</v>
      </c>
      <c r="AS1" s="23" t="s">
        <v>104</v>
      </c>
      <c r="AT1" s="23" t="s">
        <v>105</v>
      </c>
      <c r="AU1" s="23" t="s">
        <v>94</v>
      </c>
      <c r="AV1" s="23" t="s">
        <v>95</v>
      </c>
      <c r="AW1" s="23" t="s">
        <v>96</v>
      </c>
      <c r="AX1" s="23" t="s">
        <v>97</v>
      </c>
      <c r="AY1" s="23" t="s">
        <v>98</v>
      </c>
      <c r="AZ1" s="23" t="s">
        <v>99</v>
      </c>
      <c r="BA1" s="23" t="s">
        <v>100</v>
      </c>
      <c r="BB1" s="23" t="s">
        <v>90</v>
      </c>
      <c r="BC1" s="23" t="s">
        <v>101</v>
      </c>
      <c r="BD1" s="23" t="s">
        <v>102</v>
      </c>
      <c r="BE1" s="23" t="s">
        <v>103</v>
      </c>
    </row>
    <row r="2" spans="1:57" x14ac:dyDescent="0.3">
      <c r="A2" s="42">
        <v>45839</v>
      </c>
      <c r="B2" s="3" t="s">
        <v>106</v>
      </c>
      <c r="C2" s="43">
        <v>1500.6</v>
      </c>
      <c r="D2" s="43">
        <v>1531.4</v>
      </c>
      <c r="E2" s="43">
        <v>1500.1</v>
      </c>
      <c r="F2" s="43">
        <v>1500.6</v>
      </c>
      <c r="G2" s="43">
        <v>1526.8</v>
      </c>
      <c r="H2" s="43">
        <v>1528.4</v>
      </c>
      <c r="I2" s="43">
        <v>1522.95</v>
      </c>
      <c r="J2" s="43">
        <v>3217.6</v>
      </c>
      <c r="K2" s="43">
        <v>1114.8499999999999</v>
      </c>
      <c r="L2" s="44">
        <v>10368523</v>
      </c>
      <c r="M2" s="43">
        <v>15790750945.4</v>
      </c>
      <c r="N2" s="44">
        <v>232573</v>
      </c>
      <c r="O2" s="42">
        <v>45869</v>
      </c>
      <c r="P2" s="42">
        <v>45869</v>
      </c>
      <c r="Q2" s="43">
        <v>1390</v>
      </c>
      <c r="R2" s="43">
        <v>1404</v>
      </c>
      <c r="S2" s="43">
        <v>1385.7</v>
      </c>
      <c r="T2" s="43">
        <v>1390.6</v>
      </c>
      <c r="U2" s="43">
        <v>1389</v>
      </c>
      <c r="V2" s="43">
        <v>1390.2</v>
      </c>
      <c r="W2" s="44">
        <v>14727500</v>
      </c>
      <c r="X2" s="43">
        <v>20540308450</v>
      </c>
      <c r="Y2" s="43">
        <v>20540308450</v>
      </c>
      <c r="Z2" s="44">
        <v>5830500</v>
      </c>
      <c r="AA2" s="44">
        <v>-8584500</v>
      </c>
      <c r="AB2" s="42">
        <v>45897</v>
      </c>
      <c r="AC2" s="42">
        <v>45897</v>
      </c>
      <c r="AD2" s="3" t="s">
        <v>107</v>
      </c>
      <c r="AE2" s="3" t="s">
        <v>108</v>
      </c>
      <c r="AF2" s="43">
        <v>1386.5</v>
      </c>
      <c r="AG2" s="43">
        <v>1395</v>
      </c>
      <c r="AH2" s="43">
        <v>1367.3</v>
      </c>
      <c r="AI2" s="43">
        <v>1387.6</v>
      </c>
      <c r="AJ2" s="43">
        <v>1394.2</v>
      </c>
      <c r="AK2" s="43">
        <v>1385.9</v>
      </c>
      <c r="AL2" s="44">
        <v>22806000</v>
      </c>
      <c r="AM2" s="43">
        <v>31469543900</v>
      </c>
      <c r="AN2" s="43">
        <v>31469543900</v>
      </c>
      <c r="AO2" s="44">
        <v>4499500</v>
      </c>
      <c r="AP2" s="44">
        <v>-11876500</v>
      </c>
      <c r="AQ2" s="42">
        <v>45930</v>
      </c>
      <c r="AR2" s="42">
        <v>45930</v>
      </c>
      <c r="AS2" s="3" t="s">
        <v>107</v>
      </c>
      <c r="AT2" s="3" t="s">
        <v>108</v>
      </c>
      <c r="AU2" s="43">
        <v>1375.5</v>
      </c>
      <c r="AV2" s="43">
        <v>1378.6</v>
      </c>
      <c r="AW2" s="43">
        <v>1361.8</v>
      </c>
      <c r="AX2" s="43">
        <v>1363.2</v>
      </c>
      <c r="AY2" s="43">
        <v>1362.3</v>
      </c>
      <c r="AZ2" s="43">
        <v>1364</v>
      </c>
      <c r="BA2" s="44">
        <v>21123500</v>
      </c>
      <c r="BB2" s="43">
        <v>28844600300</v>
      </c>
      <c r="BC2" s="43">
        <v>28844600300</v>
      </c>
      <c r="BD2" s="44">
        <v>5832000</v>
      </c>
      <c r="BE2" s="44">
        <v>-13515500</v>
      </c>
    </row>
    <row r="3" spans="1:57" x14ac:dyDescent="0.3">
      <c r="A3" s="42">
        <v>45840</v>
      </c>
      <c r="B3" s="3" t="s">
        <v>106</v>
      </c>
      <c r="C3" s="43">
        <v>1528.4</v>
      </c>
      <c r="D3" s="43">
        <v>1530</v>
      </c>
      <c r="E3" s="43">
        <v>1508.7</v>
      </c>
      <c r="F3" s="43">
        <v>1528.4</v>
      </c>
      <c r="G3" s="43">
        <v>1517.1</v>
      </c>
      <c r="H3" s="43">
        <v>1518.8</v>
      </c>
      <c r="I3" s="43">
        <v>1518.29</v>
      </c>
      <c r="J3" s="43">
        <v>3217.6</v>
      </c>
      <c r="K3" s="43">
        <v>1114.8499999999999</v>
      </c>
      <c r="L3" s="44">
        <v>6361002</v>
      </c>
      <c r="M3" s="43">
        <v>9657844399.3999996</v>
      </c>
      <c r="N3" s="44">
        <v>183873</v>
      </c>
      <c r="O3" s="42">
        <v>45868</v>
      </c>
      <c r="P3" s="42">
        <v>45869</v>
      </c>
      <c r="Q3" s="43">
        <v>1417.3</v>
      </c>
      <c r="R3" s="43">
        <v>1424.8</v>
      </c>
      <c r="S3" s="43">
        <v>1403.2</v>
      </c>
      <c r="T3" s="43">
        <v>1410.1</v>
      </c>
      <c r="U3" s="43">
        <v>1412</v>
      </c>
      <c r="V3" s="43">
        <v>1410.1</v>
      </c>
      <c r="W3" s="44">
        <v>19733500</v>
      </c>
      <c r="X3" s="43">
        <v>27866248000</v>
      </c>
      <c r="Y3" s="43">
        <v>27866248000</v>
      </c>
      <c r="Z3" s="44">
        <v>14415000</v>
      </c>
      <c r="AA3" s="44">
        <v>-15248000</v>
      </c>
      <c r="AB3" s="42">
        <v>45895</v>
      </c>
      <c r="AC3" s="42">
        <v>45897</v>
      </c>
      <c r="AD3" s="3" t="s">
        <v>107</v>
      </c>
      <c r="AE3" s="3" t="s">
        <v>108</v>
      </c>
      <c r="AF3" s="43">
        <v>1409.9</v>
      </c>
      <c r="AG3" s="43">
        <v>1410.2</v>
      </c>
      <c r="AH3" s="43">
        <v>1383</v>
      </c>
      <c r="AI3" s="43">
        <v>1386.5</v>
      </c>
      <c r="AJ3" s="43">
        <v>1384.3</v>
      </c>
      <c r="AK3" s="43">
        <v>1386.5</v>
      </c>
      <c r="AL3" s="44">
        <v>30783500</v>
      </c>
      <c r="AM3" s="43">
        <v>42991506350</v>
      </c>
      <c r="AN3" s="43">
        <v>42991506350</v>
      </c>
      <c r="AO3" s="44">
        <v>16376000</v>
      </c>
      <c r="AP3" s="44">
        <v>-25695000</v>
      </c>
      <c r="AQ3" s="42">
        <v>45929</v>
      </c>
      <c r="AR3" s="42">
        <v>45930</v>
      </c>
      <c r="AS3" s="3" t="s">
        <v>107</v>
      </c>
      <c r="AT3" s="3" t="s">
        <v>108</v>
      </c>
      <c r="AU3" s="43">
        <v>1381</v>
      </c>
      <c r="AV3" s="43">
        <v>1388</v>
      </c>
      <c r="AW3" s="43">
        <v>1369.2</v>
      </c>
      <c r="AX3" s="43">
        <v>1374</v>
      </c>
      <c r="AY3" s="43">
        <v>1372.6</v>
      </c>
      <c r="AZ3" s="43">
        <v>1374</v>
      </c>
      <c r="BA3" s="44">
        <v>25911500</v>
      </c>
      <c r="BB3" s="43">
        <v>35743026500</v>
      </c>
      <c r="BC3" s="43">
        <v>35743026500</v>
      </c>
      <c r="BD3" s="44">
        <v>19347500</v>
      </c>
      <c r="BE3" s="44">
        <v>-21428000</v>
      </c>
    </row>
    <row r="4" spans="1:57" x14ac:dyDescent="0.3">
      <c r="A4" s="42">
        <v>45841</v>
      </c>
      <c r="B4" s="3" t="s">
        <v>106</v>
      </c>
      <c r="C4" s="43">
        <v>1520.8</v>
      </c>
      <c r="D4" s="43">
        <v>1531.9</v>
      </c>
      <c r="E4" s="43">
        <v>1513</v>
      </c>
      <c r="F4" s="43">
        <v>1518.8</v>
      </c>
      <c r="G4" s="43">
        <v>1515</v>
      </c>
      <c r="H4" s="43">
        <v>1517.8</v>
      </c>
      <c r="I4" s="43">
        <v>1520.57</v>
      </c>
      <c r="J4" s="43">
        <v>3217.6</v>
      </c>
      <c r="K4" s="43">
        <v>1114.8499999999999</v>
      </c>
      <c r="L4" s="44">
        <v>11283291</v>
      </c>
      <c r="M4" s="43">
        <v>17156979936.799999</v>
      </c>
      <c r="N4" s="44">
        <v>258008</v>
      </c>
      <c r="O4" s="42">
        <v>45867</v>
      </c>
      <c r="P4" s="42">
        <v>45869</v>
      </c>
      <c r="Q4" s="43">
        <v>1387.2</v>
      </c>
      <c r="R4" s="43">
        <v>1418.9</v>
      </c>
      <c r="S4" s="43">
        <v>1386.4</v>
      </c>
      <c r="T4" s="43">
        <v>1416.4</v>
      </c>
      <c r="U4" s="43">
        <v>1416</v>
      </c>
      <c r="V4" s="43">
        <v>1416.4</v>
      </c>
      <c r="W4" s="44">
        <v>23836000</v>
      </c>
      <c r="X4" s="43">
        <v>33378962800</v>
      </c>
      <c r="Y4" s="43">
        <v>33378962800</v>
      </c>
      <c r="Z4" s="44">
        <v>29663000</v>
      </c>
      <c r="AA4" s="44">
        <v>-16522500</v>
      </c>
      <c r="AB4" s="42">
        <v>45894</v>
      </c>
      <c r="AC4" s="42">
        <v>45897</v>
      </c>
      <c r="AD4" s="3" t="s">
        <v>107</v>
      </c>
      <c r="AE4" s="3" t="s">
        <v>108</v>
      </c>
      <c r="AF4" s="43">
        <v>1414.1</v>
      </c>
      <c r="AG4" s="43">
        <v>1419</v>
      </c>
      <c r="AH4" s="43">
        <v>1404.6</v>
      </c>
      <c r="AI4" s="43">
        <v>1412.2</v>
      </c>
      <c r="AJ4" s="43">
        <v>1413</v>
      </c>
      <c r="AK4" s="43">
        <v>1412.2</v>
      </c>
      <c r="AL4" s="44">
        <v>30618500</v>
      </c>
      <c r="AM4" s="43">
        <v>43237686600</v>
      </c>
      <c r="AN4" s="43">
        <v>43237686600</v>
      </c>
      <c r="AO4" s="44">
        <v>42071000</v>
      </c>
      <c r="AP4" s="44">
        <v>-26337500</v>
      </c>
      <c r="AQ4" s="42">
        <v>45926</v>
      </c>
      <c r="AR4" s="42">
        <v>45930</v>
      </c>
      <c r="AS4" s="3" t="s">
        <v>107</v>
      </c>
      <c r="AT4" s="3" t="s">
        <v>108</v>
      </c>
      <c r="AU4" s="43">
        <v>1375</v>
      </c>
      <c r="AV4" s="43">
        <v>1383.2</v>
      </c>
      <c r="AW4" s="43">
        <v>1367.4</v>
      </c>
      <c r="AX4" s="43">
        <v>1376.5</v>
      </c>
      <c r="AY4" s="43">
        <v>1377.7</v>
      </c>
      <c r="AZ4" s="43">
        <v>1376.5</v>
      </c>
      <c r="BA4" s="44">
        <v>33481500</v>
      </c>
      <c r="BB4" s="43">
        <v>46085667350</v>
      </c>
      <c r="BC4" s="43">
        <v>46085667350</v>
      </c>
      <c r="BD4" s="44">
        <v>40775500</v>
      </c>
      <c r="BE4" s="44">
        <v>-27999000</v>
      </c>
    </row>
    <row r="5" spans="1:57" x14ac:dyDescent="0.3">
      <c r="A5" s="42">
        <v>45842</v>
      </c>
      <c r="B5" s="3" t="s">
        <v>106</v>
      </c>
      <c r="C5" s="43">
        <v>1524</v>
      </c>
      <c r="D5" s="43">
        <v>1530</v>
      </c>
      <c r="E5" s="43">
        <v>1517.2</v>
      </c>
      <c r="F5" s="43">
        <v>1517.8</v>
      </c>
      <c r="G5" s="43">
        <v>1528.1</v>
      </c>
      <c r="H5" s="43">
        <v>1527.3</v>
      </c>
      <c r="I5" s="43">
        <v>1523.57</v>
      </c>
      <c r="J5" s="43">
        <v>3217.6</v>
      </c>
      <c r="K5" s="43">
        <v>1114.8499999999999</v>
      </c>
      <c r="L5" s="44">
        <v>6603501</v>
      </c>
      <c r="M5" s="43">
        <v>10060908691</v>
      </c>
      <c r="N5" s="44">
        <v>167255</v>
      </c>
      <c r="O5" s="42">
        <v>45866</v>
      </c>
      <c r="P5" s="42">
        <v>45869</v>
      </c>
      <c r="Q5" s="43">
        <v>1391.9</v>
      </c>
      <c r="R5" s="43">
        <v>1409.8</v>
      </c>
      <c r="S5" s="43">
        <v>1386</v>
      </c>
      <c r="T5" s="43">
        <v>1389.2</v>
      </c>
      <c r="U5" s="43">
        <v>1389.2</v>
      </c>
      <c r="V5" s="43">
        <v>1389.2</v>
      </c>
      <c r="W5" s="44">
        <v>21711500</v>
      </c>
      <c r="X5" s="43">
        <v>30361334700</v>
      </c>
      <c r="Y5" s="43">
        <v>30361334700</v>
      </c>
      <c r="Z5" s="44">
        <v>46185500</v>
      </c>
      <c r="AA5" s="44">
        <v>-15547000</v>
      </c>
      <c r="AB5" s="42">
        <v>45891</v>
      </c>
      <c r="AC5" s="42">
        <v>45897</v>
      </c>
      <c r="AD5" s="3" t="s">
        <v>107</v>
      </c>
      <c r="AE5" s="3" t="s">
        <v>108</v>
      </c>
      <c r="AF5" s="43">
        <v>1423.4</v>
      </c>
      <c r="AG5" s="43">
        <v>1423.8</v>
      </c>
      <c r="AH5" s="43">
        <v>1410.2</v>
      </c>
      <c r="AI5" s="43">
        <v>1411.5</v>
      </c>
      <c r="AJ5" s="43">
        <v>1411.8</v>
      </c>
      <c r="AK5" s="43">
        <v>1411.5</v>
      </c>
      <c r="AL5" s="44">
        <v>27408000</v>
      </c>
      <c r="AM5" s="43">
        <v>38799426700</v>
      </c>
      <c r="AN5" s="43">
        <v>38799426700</v>
      </c>
      <c r="AO5" s="44">
        <v>68408500</v>
      </c>
      <c r="AP5" s="44">
        <v>-20396500</v>
      </c>
      <c r="AQ5" s="42">
        <v>45925</v>
      </c>
      <c r="AR5" s="42">
        <v>45930</v>
      </c>
      <c r="AS5" s="3" t="s">
        <v>107</v>
      </c>
      <c r="AT5" s="3" t="s">
        <v>108</v>
      </c>
      <c r="AU5" s="43">
        <v>1384.3</v>
      </c>
      <c r="AV5" s="43">
        <v>1386.2</v>
      </c>
      <c r="AW5" s="43">
        <v>1373.2</v>
      </c>
      <c r="AX5" s="43">
        <v>1376.6</v>
      </c>
      <c r="AY5" s="43">
        <v>1377.1</v>
      </c>
      <c r="AZ5" s="43">
        <v>1376.6</v>
      </c>
      <c r="BA5" s="44">
        <v>31780000</v>
      </c>
      <c r="BB5" s="43">
        <v>43841151300</v>
      </c>
      <c r="BC5" s="43">
        <v>43841151300</v>
      </c>
      <c r="BD5" s="44">
        <v>68774500</v>
      </c>
      <c r="BE5" s="44">
        <v>-25111500</v>
      </c>
    </row>
    <row r="6" spans="1:57" x14ac:dyDescent="0.3">
      <c r="A6" s="42">
        <v>45845</v>
      </c>
      <c r="B6" s="3" t="s">
        <v>106</v>
      </c>
      <c r="C6" s="43">
        <v>1526.6</v>
      </c>
      <c r="D6" s="43">
        <v>1544.8</v>
      </c>
      <c r="E6" s="43">
        <v>1525</v>
      </c>
      <c r="F6" s="43">
        <v>1527.3</v>
      </c>
      <c r="G6" s="43">
        <v>1540.5</v>
      </c>
      <c r="H6" s="43">
        <v>1541.5</v>
      </c>
      <c r="I6" s="43">
        <v>1539.06</v>
      </c>
      <c r="J6" s="43">
        <v>3217.6</v>
      </c>
      <c r="K6" s="43">
        <v>1114.8499999999999</v>
      </c>
      <c r="L6" s="44">
        <v>7251074</v>
      </c>
      <c r="M6" s="43">
        <v>11159858745.5</v>
      </c>
      <c r="N6" s="44">
        <v>205134</v>
      </c>
      <c r="O6" s="42">
        <v>45863</v>
      </c>
      <c r="P6" s="42">
        <v>45869</v>
      </c>
      <c r="Q6" s="43">
        <v>1403.7</v>
      </c>
      <c r="R6" s="43">
        <v>1403.7</v>
      </c>
      <c r="S6" s="43">
        <v>1386</v>
      </c>
      <c r="T6" s="43">
        <v>1393.7</v>
      </c>
      <c r="U6" s="43">
        <v>1391.9</v>
      </c>
      <c r="V6" s="43">
        <v>1393.7</v>
      </c>
      <c r="W6" s="44">
        <v>9721500</v>
      </c>
      <c r="X6" s="43">
        <v>13574022650</v>
      </c>
      <c r="Y6" s="43">
        <v>13574022650</v>
      </c>
      <c r="Z6" s="44">
        <v>61732500</v>
      </c>
      <c r="AA6" s="44">
        <v>-3441000</v>
      </c>
      <c r="AB6" s="42">
        <v>45890</v>
      </c>
      <c r="AC6" s="42">
        <v>45897</v>
      </c>
      <c r="AD6" s="3" t="s">
        <v>107</v>
      </c>
      <c r="AE6" s="3" t="s">
        <v>108</v>
      </c>
      <c r="AF6" s="43">
        <v>1425</v>
      </c>
      <c r="AG6" s="43">
        <v>1431.7</v>
      </c>
      <c r="AH6" s="43">
        <v>1420</v>
      </c>
      <c r="AI6" s="43">
        <v>1424.8</v>
      </c>
      <c r="AJ6" s="43">
        <v>1423.5</v>
      </c>
      <c r="AK6" s="43">
        <v>1424.8</v>
      </c>
      <c r="AL6" s="44">
        <v>14617000</v>
      </c>
      <c r="AM6" s="43">
        <v>20866139600</v>
      </c>
      <c r="AN6" s="43">
        <v>20866139600</v>
      </c>
      <c r="AO6" s="44">
        <v>88805000</v>
      </c>
      <c r="AP6" s="44">
        <v>-7360500</v>
      </c>
      <c r="AQ6" s="42">
        <v>45924</v>
      </c>
      <c r="AR6" s="42">
        <v>45930</v>
      </c>
      <c r="AS6" s="3" t="s">
        <v>107</v>
      </c>
      <c r="AT6" s="3" t="s">
        <v>108</v>
      </c>
      <c r="AU6" s="43">
        <v>1392.5</v>
      </c>
      <c r="AV6" s="43">
        <v>1399.8</v>
      </c>
      <c r="AW6" s="43">
        <v>1383.7</v>
      </c>
      <c r="AX6" s="43">
        <v>1386.7</v>
      </c>
      <c r="AY6" s="43">
        <v>1384.3</v>
      </c>
      <c r="AZ6" s="43">
        <v>1386.7</v>
      </c>
      <c r="BA6" s="44">
        <v>13749500</v>
      </c>
      <c r="BB6" s="43">
        <v>19133706900</v>
      </c>
      <c r="BC6" s="43">
        <v>19133706900</v>
      </c>
      <c r="BD6" s="44">
        <v>93886000</v>
      </c>
      <c r="BE6" s="44">
        <v>-7716500</v>
      </c>
    </row>
    <row r="7" spans="1:57" x14ac:dyDescent="0.3">
      <c r="A7" s="42">
        <v>45846</v>
      </c>
      <c r="B7" s="3" t="s">
        <v>106</v>
      </c>
      <c r="C7" s="43">
        <v>1536</v>
      </c>
      <c r="D7" s="43">
        <v>1544.9</v>
      </c>
      <c r="E7" s="43">
        <v>1530.2</v>
      </c>
      <c r="F7" s="43">
        <v>1541.5</v>
      </c>
      <c r="G7" s="43">
        <v>1538</v>
      </c>
      <c r="H7" s="43">
        <v>1537.6</v>
      </c>
      <c r="I7" s="43">
        <v>1536.23</v>
      </c>
      <c r="J7" s="43">
        <v>3217.6</v>
      </c>
      <c r="K7" s="43">
        <v>1114.8499999999999</v>
      </c>
      <c r="L7" s="44">
        <v>7171261</v>
      </c>
      <c r="M7" s="43">
        <v>11016684351.6</v>
      </c>
      <c r="N7" s="44">
        <v>191265</v>
      </c>
      <c r="O7" s="42">
        <v>45862</v>
      </c>
      <c r="P7" s="42">
        <v>45869</v>
      </c>
      <c r="Q7" s="43">
        <v>1424</v>
      </c>
      <c r="R7" s="43">
        <v>1426.9</v>
      </c>
      <c r="S7" s="43">
        <v>1398.1</v>
      </c>
      <c r="T7" s="43">
        <v>1406.6</v>
      </c>
      <c r="U7" s="43">
        <v>1406.3</v>
      </c>
      <c r="V7" s="43">
        <v>1406.6</v>
      </c>
      <c r="W7" s="44">
        <v>11440000</v>
      </c>
      <c r="X7" s="43">
        <v>16121394700</v>
      </c>
      <c r="Y7" s="43">
        <v>16121394700</v>
      </c>
      <c r="Z7" s="44">
        <v>65173500</v>
      </c>
      <c r="AA7" s="44">
        <v>-2145000</v>
      </c>
      <c r="AB7" s="42">
        <v>45889</v>
      </c>
      <c r="AC7" s="42">
        <v>45897</v>
      </c>
      <c r="AD7" s="3" t="s">
        <v>107</v>
      </c>
      <c r="AE7" s="3" t="s">
        <v>108</v>
      </c>
      <c r="AF7" s="43">
        <v>1416</v>
      </c>
      <c r="AG7" s="43">
        <v>1425</v>
      </c>
      <c r="AH7" s="43">
        <v>1412.3</v>
      </c>
      <c r="AI7" s="43">
        <v>1415.5</v>
      </c>
      <c r="AJ7" s="43">
        <v>1414.6</v>
      </c>
      <c r="AK7" s="43">
        <v>1415.5</v>
      </c>
      <c r="AL7" s="44">
        <v>11678000</v>
      </c>
      <c r="AM7" s="43">
        <v>16568938550</v>
      </c>
      <c r="AN7" s="43">
        <v>16568938550</v>
      </c>
      <c r="AO7" s="44">
        <v>96165500</v>
      </c>
      <c r="AP7" s="44">
        <v>-3422500</v>
      </c>
      <c r="AQ7" s="42">
        <v>45923</v>
      </c>
      <c r="AR7" s="42">
        <v>45930</v>
      </c>
      <c r="AS7" s="3" t="s">
        <v>107</v>
      </c>
      <c r="AT7" s="3" t="s">
        <v>108</v>
      </c>
      <c r="AU7" s="43">
        <v>1397</v>
      </c>
      <c r="AV7" s="43">
        <v>1399.4</v>
      </c>
      <c r="AW7" s="43">
        <v>1380.9</v>
      </c>
      <c r="AX7" s="43">
        <v>1394.9</v>
      </c>
      <c r="AY7" s="43">
        <v>1395.7</v>
      </c>
      <c r="AZ7" s="43">
        <v>1394.9</v>
      </c>
      <c r="BA7" s="44">
        <v>14508000</v>
      </c>
      <c r="BB7" s="43">
        <v>20172911850</v>
      </c>
      <c r="BC7" s="43">
        <v>20172911850</v>
      </c>
      <c r="BD7" s="44">
        <v>101602500</v>
      </c>
      <c r="BE7" s="44">
        <v>-5397500</v>
      </c>
    </row>
    <row r="8" spans="1:57" x14ac:dyDescent="0.3">
      <c r="A8" s="42">
        <v>45847</v>
      </c>
      <c r="B8" s="3" t="s">
        <v>106</v>
      </c>
      <c r="C8" s="43">
        <v>1536.7</v>
      </c>
      <c r="D8" s="43">
        <v>1551</v>
      </c>
      <c r="E8" s="43">
        <v>1510.1</v>
      </c>
      <c r="F8" s="43">
        <v>1537.6</v>
      </c>
      <c r="G8" s="43">
        <v>1520.5</v>
      </c>
      <c r="H8" s="43">
        <v>1519</v>
      </c>
      <c r="I8" s="43">
        <v>1532.97</v>
      </c>
      <c r="J8" s="43">
        <v>3217.6</v>
      </c>
      <c r="K8" s="43">
        <v>1114.8499999999999</v>
      </c>
      <c r="L8" s="44">
        <v>8870660</v>
      </c>
      <c r="M8" s="43">
        <v>13598441338.6</v>
      </c>
      <c r="N8" s="44">
        <v>254524</v>
      </c>
      <c r="O8" s="42">
        <v>45861</v>
      </c>
      <c r="P8" s="42">
        <v>45869</v>
      </c>
      <c r="Q8" s="43">
        <v>1430</v>
      </c>
      <c r="R8" s="43">
        <v>1430</v>
      </c>
      <c r="S8" s="43">
        <v>1418.3</v>
      </c>
      <c r="T8" s="43">
        <v>1427.1</v>
      </c>
      <c r="U8" s="43">
        <v>1428.4</v>
      </c>
      <c r="V8" s="43">
        <v>1427.1</v>
      </c>
      <c r="W8" s="44">
        <v>8408500</v>
      </c>
      <c r="X8" s="43">
        <v>11972690200</v>
      </c>
      <c r="Y8" s="43">
        <v>11972690200</v>
      </c>
      <c r="Z8" s="44">
        <v>67318500</v>
      </c>
      <c r="AA8" s="44">
        <v>-1247000</v>
      </c>
      <c r="AB8" s="42">
        <v>45888</v>
      </c>
      <c r="AC8" s="42">
        <v>45897</v>
      </c>
      <c r="AD8" s="3" t="s">
        <v>107</v>
      </c>
      <c r="AE8" s="3" t="s">
        <v>108</v>
      </c>
      <c r="AF8" s="43">
        <v>1395</v>
      </c>
      <c r="AG8" s="43">
        <v>1422.2</v>
      </c>
      <c r="AH8" s="43">
        <v>1393</v>
      </c>
      <c r="AI8" s="43">
        <v>1421.2</v>
      </c>
      <c r="AJ8" s="43">
        <v>1422</v>
      </c>
      <c r="AK8" s="43">
        <v>1421.2</v>
      </c>
      <c r="AL8" s="44">
        <v>21663500</v>
      </c>
      <c r="AM8" s="43">
        <v>30619996350</v>
      </c>
      <c r="AN8" s="43">
        <v>30619996350</v>
      </c>
      <c r="AO8" s="44">
        <v>99588000</v>
      </c>
      <c r="AP8" s="44">
        <v>-5489000</v>
      </c>
      <c r="AQ8" s="42">
        <v>45922</v>
      </c>
      <c r="AR8" s="42">
        <v>45930</v>
      </c>
      <c r="AS8" s="3" t="s">
        <v>107</v>
      </c>
      <c r="AT8" s="3" t="s">
        <v>108</v>
      </c>
      <c r="AU8" s="43">
        <v>1409.3</v>
      </c>
      <c r="AV8" s="43">
        <v>1414.1</v>
      </c>
      <c r="AW8" s="43">
        <v>1393.2</v>
      </c>
      <c r="AX8" s="43">
        <v>1395</v>
      </c>
      <c r="AY8" s="43">
        <v>1394.8</v>
      </c>
      <c r="AZ8" s="43">
        <v>1395</v>
      </c>
      <c r="BA8" s="44">
        <v>13279000</v>
      </c>
      <c r="BB8" s="43">
        <v>18653831100</v>
      </c>
      <c r="BC8" s="43">
        <v>18653831100</v>
      </c>
      <c r="BD8" s="44">
        <v>107000000</v>
      </c>
      <c r="BE8" s="44">
        <v>-6206000</v>
      </c>
    </row>
    <row r="9" spans="1:57" x14ac:dyDescent="0.3">
      <c r="A9" s="42">
        <v>45848</v>
      </c>
      <c r="B9" s="3" t="s">
        <v>106</v>
      </c>
      <c r="C9" s="43">
        <v>1519.7</v>
      </c>
      <c r="D9" s="43">
        <v>1524.7</v>
      </c>
      <c r="E9" s="43">
        <v>1507.5</v>
      </c>
      <c r="F9" s="43">
        <v>1519</v>
      </c>
      <c r="G9" s="43">
        <v>1515.2</v>
      </c>
      <c r="H9" s="43">
        <v>1517.2</v>
      </c>
      <c r="I9" s="43">
        <v>1516.2</v>
      </c>
      <c r="J9" s="43">
        <v>3217.6</v>
      </c>
      <c r="K9" s="43">
        <v>1114.8499999999999</v>
      </c>
      <c r="L9" s="44">
        <v>10047129</v>
      </c>
      <c r="M9" s="43">
        <v>15233458376.4</v>
      </c>
      <c r="N9" s="44">
        <v>289035</v>
      </c>
      <c r="O9" s="42">
        <v>45860</v>
      </c>
      <c r="P9" s="42">
        <v>45869</v>
      </c>
      <c r="Q9" s="43">
        <v>1430</v>
      </c>
      <c r="R9" s="43">
        <v>1435.8</v>
      </c>
      <c r="S9" s="43">
        <v>1414.6</v>
      </c>
      <c r="T9" s="43">
        <v>1417.3</v>
      </c>
      <c r="U9" s="43">
        <v>1417.2</v>
      </c>
      <c r="V9" s="43">
        <v>1417.3</v>
      </c>
      <c r="W9" s="44">
        <v>11561000</v>
      </c>
      <c r="X9" s="43">
        <v>16440116650</v>
      </c>
      <c r="Y9" s="43">
        <v>16440116650</v>
      </c>
      <c r="Z9" s="44">
        <v>68565500</v>
      </c>
      <c r="AA9" s="44">
        <v>184500</v>
      </c>
      <c r="AB9" s="42">
        <v>45887</v>
      </c>
      <c r="AC9" s="42">
        <v>45897</v>
      </c>
      <c r="AD9" s="3" t="s">
        <v>107</v>
      </c>
      <c r="AE9" s="3" t="s">
        <v>108</v>
      </c>
      <c r="AF9" s="43">
        <v>1392.8</v>
      </c>
      <c r="AG9" s="43">
        <v>1398.1</v>
      </c>
      <c r="AH9" s="43">
        <v>1380.7</v>
      </c>
      <c r="AI9" s="43">
        <v>1386.6</v>
      </c>
      <c r="AJ9" s="43">
        <v>1388</v>
      </c>
      <c r="AK9" s="43">
        <v>1386.6</v>
      </c>
      <c r="AL9" s="44">
        <v>10647500</v>
      </c>
      <c r="AM9" s="43">
        <v>14791645300</v>
      </c>
      <c r="AN9" s="43">
        <v>14791645300</v>
      </c>
      <c r="AO9" s="44">
        <v>105077000</v>
      </c>
      <c r="AP9" s="44">
        <v>396500</v>
      </c>
      <c r="AQ9" s="42">
        <v>45919</v>
      </c>
      <c r="AR9" s="42">
        <v>45930</v>
      </c>
      <c r="AS9" s="3" t="s">
        <v>107</v>
      </c>
      <c r="AT9" s="3" t="s">
        <v>108</v>
      </c>
      <c r="AU9" s="43">
        <v>1417</v>
      </c>
      <c r="AV9" s="43">
        <v>1419.7</v>
      </c>
      <c r="AW9" s="43">
        <v>1406.1</v>
      </c>
      <c r="AX9" s="43">
        <v>1412.1</v>
      </c>
      <c r="AY9" s="43">
        <v>1412.6</v>
      </c>
      <c r="AZ9" s="43">
        <v>1412.1</v>
      </c>
      <c r="BA9" s="44">
        <v>10931000</v>
      </c>
      <c r="BB9" s="43">
        <v>15432459400</v>
      </c>
      <c r="BC9" s="43">
        <v>15432459400</v>
      </c>
      <c r="BD9" s="44">
        <v>113206000</v>
      </c>
      <c r="BE9" s="44">
        <v>-1615000</v>
      </c>
    </row>
    <row r="10" spans="1:57" x14ac:dyDescent="0.3">
      <c r="A10" s="42">
        <v>45849</v>
      </c>
      <c r="B10" s="3" t="s">
        <v>106</v>
      </c>
      <c r="C10" s="43">
        <v>1512</v>
      </c>
      <c r="D10" s="43">
        <v>1515</v>
      </c>
      <c r="E10" s="43">
        <v>1490.3</v>
      </c>
      <c r="F10" s="43">
        <v>1517.2</v>
      </c>
      <c r="G10" s="43">
        <v>1495</v>
      </c>
      <c r="H10" s="43">
        <v>1495.2</v>
      </c>
      <c r="I10" s="43">
        <v>1496.06</v>
      </c>
      <c r="J10" s="43">
        <v>3217.6</v>
      </c>
      <c r="K10" s="43">
        <v>1114.8499999999999</v>
      </c>
      <c r="L10" s="44">
        <v>7234991</v>
      </c>
      <c r="M10" s="43">
        <v>10823982872.200001</v>
      </c>
      <c r="N10" s="44">
        <v>178490</v>
      </c>
      <c r="O10" s="42">
        <v>45859</v>
      </c>
      <c r="P10" s="42">
        <v>45869</v>
      </c>
      <c r="Q10" s="43">
        <v>1470</v>
      </c>
      <c r="R10" s="43">
        <v>1477.9</v>
      </c>
      <c r="S10" s="43">
        <v>1427.2</v>
      </c>
      <c r="T10" s="43">
        <v>1432.4</v>
      </c>
      <c r="U10" s="43">
        <v>1433</v>
      </c>
      <c r="V10" s="43">
        <v>1432.4</v>
      </c>
      <c r="W10" s="44">
        <v>25319500</v>
      </c>
      <c r="X10" s="43">
        <v>36505715300</v>
      </c>
      <c r="Y10" s="43">
        <v>36505715300</v>
      </c>
      <c r="Z10" s="44">
        <v>68381000</v>
      </c>
      <c r="AA10" s="44">
        <v>-836500</v>
      </c>
      <c r="AB10" s="42">
        <v>45883</v>
      </c>
      <c r="AC10" s="42">
        <v>45897</v>
      </c>
      <c r="AD10" s="3" t="s">
        <v>107</v>
      </c>
      <c r="AE10" s="3" t="s">
        <v>108</v>
      </c>
      <c r="AF10" s="43">
        <v>1382.7</v>
      </c>
      <c r="AG10" s="43">
        <v>1383.8</v>
      </c>
      <c r="AH10" s="43">
        <v>1374.2</v>
      </c>
      <c r="AI10" s="43">
        <v>1376.5</v>
      </c>
      <c r="AJ10" s="43">
        <v>1376</v>
      </c>
      <c r="AK10" s="43">
        <v>1376.5</v>
      </c>
      <c r="AL10" s="44">
        <v>6846500</v>
      </c>
      <c r="AM10" s="43">
        <v>9438320150</v>
      </c>
      <c r="AN10" s="43">
        <v>9438320150</v>
      </c>
      <c r="AO10" s="44">
        <v>104680500</v>
      </c>
      <c r="AP10" s="44">
        <v>-155000</v>
      </c>
      <c r="AQ10" s="42">
        <v>45918</v>
      </c>
      <c r="AR10" s="42">
        <v>45930</v>
      </c>
      <c r="AS10" s="3" t="s">
        <v>107</v>
      </c>
      <c r="AT10" s="3" t="s">
        <v>108</v>
      </c>
      <c r="AU10" s="43">
        <v>1420.2</v>
      </c>
      <c r="AV10" s="43">
        <v>1424.4</v>
      </c>
      <c r="AW10" s="43">
        <v>1414.6</v>
      </c>
      <c r="AX10" s="43">
        <v>1418.5</v>
      </c>
      <c r="AY10" s="43">
        <v>1418.5</v>
      </c>
      <c r="AZ10" s="43">
        <v>1418.5</v>
      </c>
      <c r="BA10" s="44">
        <v>10737500</v>
      </c>
      <c r="BB10" s="43">
        <v>15234381000</v>
      </c>
      <c r="BC10" s="43">
        <v>15234381000</v>
      </c>
      <c r="BD10" s="44">
        <v>114821000</v>
      </c>
      <c r="BE10" s="44">
        <v>37000</v>
      </c>
    </row>
    <row r="11" spans="1:57" x14ac:dyDescent="0.3">
      <c r="A11" s="42">
        <v>45852</v>
      </c>
      <c r="B11" s="3" t="s">
        <v>106</v>
      </c>
      <c r="C11" s="43">
        <v>1492.2</v>
      </c>
      <c r="D11" s="43">
        <v>1500</v>
      </c>
      <c r="E11" s="43">
        <v>1479.1</v>
      </c>
      <c r="F11" s="43">
        <v>1495.2</v>
      </c>
      <c r="G11" s="43">
        <v>1486.4</v>
      </c>
      <c r="H11" s="43">
        <v>1483.7</v>
      </c>
      <c r="I11" s="43">
        <v>1487.76</v>
      </c>
      <c r="J11" s="43">
        <v>3211.7</v>
      </c>
      <c r="K11" s="43">
        <v>1114.8499999999999</v>
      </c>
      <c r="L11" s="44">
        <v>10311846</v>
      </c>
      <c r="M11" s="43">
        <v>15341529534.700001</v>
      </c>
      <c r="N11" s="44">
        <v>186122</v>
      </c>
      <c r="O11" s="42">
        <v>45856</v>
      </c>
      <c r="P11" s="42">
        <v>45869</v>
      </c>
      <c r="Q11" s="43">
        <v>1485.4</v>
      </c>
      <c r="R11" s="43">
        <v>1489.5</v>
      </c>
      <c r="S11" s="43">
        <v>1473.7</v>
      </c>
      <c r="T11" s="43">
        <v>1482.6</v>
      </c>
      <c r="U11" s="43">
        <v>1480.5</v>
      </c>
      <c r="V11" s="43">
        <v>1482.6</v>
      </c>
      <c r="W11" s="44">
        <v>10341500</v>
      </c>
      <c r="X11" s="43">
        <v>15310524750</v>
      </c>
      <c r="Y11" s="43">
        <v>15310524750</v>
      </c>
      <c r="Z11" s="44">
        <v>69217500</v>
      </c>
      <c r="AA11" s="44">
        <v>2958500</v>
      </c>
      <c r="AB11" s="42">
        <v>45882</v>
      </c>
      <c r="AC11" s="42">
        <v>45897</v>
      </c>
      <c r="AD11" s="3" t="s">
        <v>107</v>
      </c>
      <c r="AE11" s="3" t="s">
        <v>108</v>
      </c>
      <c r="AF11" s="43">
        <v>1387</v>
      </c>
      <c r="AG11" s="43">
        <v>1390.8</v>
      </c>
      <c r="AH11" s="43">
        <v>1378</v>
      </c>
      <c r="AI11" s="43">
        <v>1383.2</v>
      </c>
      <c r="AJ11" s="43">
        <v>1384</v>
      </c>
      <c r="AK11" s="43">
        <v>1383.2</v>
      </c>
      <c r="AL11" s="44">
        <v>11924000</v>
      </c>
      <c r="AM11" s="43">
        <v>16497004600</v>
      </c>
      <c r="AN11" s="43">
        <v>16497004600</v>
      </c>
      <c r="AO11" s="44">
        <v>104835500</v>
      </c>
      <c r="AP11" s="44">
        <v>-3357000</v>
      </c>
      <c r="AQ11" s="42">
        <v>45917</v>
      </c>
      <c r="AR11" s="42">
        <v>45930</v>
      </c>
      <c r="AS11" s="3" t="s">
        <v>107</v>
      </c>
      <c r="AT11" s="3" t="s">
        <v>108</v>
      </c>
      <c r="AU11" s="43">
        <v>1410.9</v>
      </c>
      <c r="AV11" s="43">
        <v>1419.1</v>
      </c>
      <c r="AW11" s="43">
        <v>1410</v>
      </c>
      <c r="AX11" s="43">
        <v>1416.7</v>
      </c>
      <c r="AY11" s="43">
        <v>1416.1</v>
      </c>
      <c r="AZ11" s="43">
        <v>1416.7</v>
      </c>
      <c r="BA11" s="44">
        <v>9563000</v>
      </c>
      <c r="BB11" s="43">
        <v>13534511450</v>
      </c>
      <c r="BC11" s="43">
        <v>13534511450</v>
      </c>
      <c r="BD11" s="44">
        <v>114784000</v>
      </c>
      <c r="BE11" s="44">
        <v>-2166000</v>
      </c>
    </row>
    <row r="12" spans="1:57" x14ac:dyDescent="0.3">
      <c r="A12" s="42">
        <v>45853</v>
      </c>
      <c r="B12" s="3" t="s">
        <v>106</v>
      </c>
      <c r="C12" s="43">
        <v>1486.2</v>
      </c>
      <c r="D12" s="43">
        <v>1496.5</v>
      </c>
      <c r="E12" s="43">
        <v>1482.4</v>
      </c>
      <c r="F12" s="43">
        <v>1483.7</v>
      </c>
      <c r="G12" s="43">
        <v>1488.5</v>
      </c>
      <c r="H12" s="43">
        <v>1485.4</v>
      </c>
      <c r="I12" s="43">
        <v>1487.92</v>
      </c>
      <c r="J12" s="43">
        <v>3211.7</v>
      </c>
      <c r="K12" s="43">
        <v>1114.8499999999999</v>
      </c>
      <c r="L12" s="44">
        <v>8132454</v>
      </c>
      <c r="M12" s="43">
        <v>12100448372.9</v>
      </c>
      <c r="N12" s="44">
        <v>173756</v>
      </c>
      <c r="O12" s="42">
        <v>45855</v>
      </c>
      <c r="P12" s="42">
        <v>45869</v>
      </c>
      <c r="Q12" s="43">
        <v>1492.1</v>
      </c>
      <c r="R12" s="43">
        <v>1493.5</v>
      </c>
      <c r="S12" s="43">
        <v>1479.4</v>
      </c>
      <c r="T12" s="43">
        <v>1482.6</v>
      </c>
      <c r="U12" s="43">
        <v>1484.5</v>
      </c>
      <c r="V12" s="43">
        <v>1482.6</v>
      </c>
      <c r="W12" s="44">
        <v>9720500</v>
      </c>
      <c r="X12" s="43">
        <v>14441875950</v>
      </c>
      <c r="Y12" s="43">
        <v>14441875950</v>
      </c>
      <c r="Z12" s="44">
        <v>66259000</v>
      </c>
      <c r="AA12" s="44">
        <v>298000</v>
      </c>
      <c r="AB12" s="42">
        <v>45881</v>
      </c>
      <c r="AC12" s="42">
        <v>45897</v>
      </c>
      <c r="AD12" s="3" t="s">
        <v>107</v>
      </c>
      <c r="AE12" s="3" t="s">
        <v>108</v>
      </c>
      <c r="AF12" s="43">
        <v>1380.3</v>
      </c>
      <c r="AG12" s="43">
        <v>1399.3</v>
      </c>
      <c r="AH12" s="43">
        <v>1375.3</v>
      </c>
      <c r="AI12" s="43">
        <v>1380</v>
      </c>
      <c r="AJ12" s="43">
        <v>1379.6</v>
      </c>
      <c r="AK12" s="43">
        <v>1380</v>
      </c>
      <c r="AL12" s="44">
        <v>10492500</v>
      </c>
      <c r="AM12" s="43">
        <v>14560941650</v>
      </c>
      <c r="AN12" s="43">
        <v>14560941650</v>
      </c>
      <c r="AO12" s="44">
        <v>108192500</v>
      </c>
      <c r="AP12" s="44">
        <v>-929000</v>
      </c>
      <c r="AQ12" s="42">
        <v>45916</v>
      </c>
      <c r="AR12" s="42">
        <v>45930</v>
      </c>
      <c r="AS12" s="3" t="s">
        <v>107</v>
      </c>
      <c r="AT12" s="3" t="s">
        <v>108</v>
      </c>
      <c r="AU12" s="43">
        <v>1405</v>
      </c>
      <c r="AV12" s="43">
        <v>1411.7</v>
      </c>
      <c r="AW12" s="43">
        <v>1403.5</v>
      </c>
      <c r="AX12" s="43">
        <v>1409.2</v>
      </c>
      <c r="AY12" s="43">
        <v>1409.5</v>
      </c>
      <c r="AZ12" s="43">
        <v>1409.2</v>
      </c>
      <c r="BA12" s="44">
        <v>10225000</v>
      </c>
      <c r="BB12" s="43">
        <v>14398361800</v>
      </c>
      <c r="BC12" s="43">
        <v>14398361800</v>
      </c>
      <c r="BD12" s="44">
        <v>116950000</v>
      </c>
      <c r="BE12" s="44">
        <v>-562000</v>
      </c>
    </row>
    <row r="13" spans="1:57" x14ac:dyDescent="0.3">
      <c r="A13" s="42">
        <v>45854</v>
      </c>
      <c r="B13" s="3" t="s">
        <v>106</v>
      </c>
      <c r="C13" s="43">
        <v>1473</v>
      </c>
      <c r="D13" s="43">
        <v>1491</v>
      </c>
      <c r="E13" s="43">
        <v>1471.5</v>
      </c>
      <c r="F13" s="43">
        <v>1485.4</v>
      </c>
      <c r="G13" s="43">
        <v>1486.2</v>
      </c>
      <c r="H13" s="43">
        <v>1485.6</v>
      </c>
      <c r="I13" s="43">
        <v>1481.43</v>
      </c>
      <c r="J13" s="43">
        <v>3211.7</v>
      </c>
      <c r="K13" s="43">
        <v>1114.8499999999999</v>
      </c>
      <c r="L13" s="44">
        <v>10409983</v>
      </c>
      <c r="M13" s="43">
        <v>15421636574.6</v>
      </c>
      <c r="N13" s="44">
        <v>191598</v>
      </c>
      <c r="O13" s="42">
        <v>45854</v>
      </c>
      <c r="P13" s="42">
        <v>45869</v>
      </c>
      <c r="Q13" s="43">
        <v>1485.7</v>
      </c>
      <c r="R13" s="43">
        <v>1496.5</v>
      </c>
      <c r="S13" s="43">
        <v>1477.7</v>
      </c>
      <c r="T13" s="43">
        <v>1489.4</v>
      </c>
      <c r="U13" s="43">
        <v>1489</v>
      </c>
      <c r="V13" s="43">
        <v>1489.4</v>
      </c>
      <c r="W13" s="44">
        <v>7990000</v>
      </c>
      <c r="X13" s="43">
        <v>11877002200</v>
      </c>
      <c r="Y13" s="43">
        <v>11877002200</v>
      </c>
      <c r="Z13" s="44">
        <v>65961000</v>
      </c>
      <c r="AA13" s="44">
        <v>1306000</v>
      </c>
      <c r="AB13" s="42">
        <v>45880</v>
      </c>
      <c r="AC13" s="42">
        <v>45897</v>
      </c>
      <c r="AD13" s="3" t="s">
        <v>107</v>
      </c>
      <c r="AE13" s="3" t="s">
        <v>108</v>
      </c>
      <c r="AF13" s="43">
        <v>1367</v>
      </c>
      <c r="AG13" s="43">
        <v>1385</v>
      </c>
      <c r="AH13" s="43">
        <v>1360</v>
      </c>
      <c r="AI13" s="43">
        <v>1383.1</v>
      </c>
      <c r="AJ13" s="43">
        <v>1381.4</v>
      </c>
      <c r="AK13" s="43">
        <v>1383.1</v>
      </c>
      <c r="AL13" s="44">
        <v>9437000</v>
      </c>
      <c r="AM13" s="43">
        <v>12969914450</v>
      </c>
      <c r="AN13" s="43">
        <v>12969914450</v>
      </c>
      <c r="AO13" s="44">
        <v>109121500</v>
      </c>
      <c r="AP13" s="44">
        <v>428500</v>
      </c>
      <c r="AQ13" s="42">
        <v>45915</v>
      </c>
      <c r="AR13" s="42">
        <v>45930</v>
      </c>
      <c r="AS13" s="3" t="s">
        <v>107</v>
      </c>
      <c r="AT13" s="3" t="s">
        <v>108</v>
      </c>
      <c r="AU13" s="43">
        <v>1395.4</v>
      </c>
      <c r="AV13" s="43">
        <v>1404.5</v>
      </c>
      <c r="AW13" s="43">
        <v>1393.8</v>
      </c>
      <c r="AX13" s="43">
        <v>1402.8</v>
      </c>
      <c r="AY13" s="43">
        <v>1403.5</v>
      </c>
      <c r="AZ13" s="43">
        <v>1402.8</v>
      </c>
      <c r="BA13" s="44">
        <v>8075000</v>
      </c>
      <c r="BB13" s="43">
        <v>11309130450</v>
      </c>
      <c r="BC13" s="43">
        <v>11309130450</v>
      </c>
      <c r="BD13" s="44">
        <v>117512000</v>
      </c>
      <c r="BE13" s="44">
        <v>-2278500</v>
      </c>
    </row>
    <row r="14" spans="1:57" x14ac:dyDescent="0.3">
      <c r="A14" s="42">
        <v>45855</v>
      </c>
      <c r="B14" s="3" t="s">
        <v>106</v>
      </c>
      <c r="C14" s="43">
        <v>1487.4</v>
      </c>
      <c r="D14" s="43">
        <v>1489.6</v>
      </c>
      <c r="E14" s="43">
        <v>1473.9</v>
      </c>
      <c r="F14" s="43">
        <v>1485.6</v>
      </c>
      <c r="G14" s="43">
        <v>1478.7</v>
      </c>
      <c r="H14" s="43">
        <v>1476.4</v>
      </c>
      <c r="I14" s="43">
        <v>1479.78</v>
      </c>
      <c r="J14" s="43">
        <v>3211.7</v>
      </c>
      <c r="K14" s="43">
        <v>1114.8499999999999</v>
      </c>
      <c r="L14" s="44">
        <v>11854613</v>
      </c>
      <c r="M14" s="43">
        <v>17542205685.799999</v>
      </c>
      <c r="N14" s="44">
        <v>189733</v>
      </c>
      <c r="O14" s="42">
        <v>45853</v>
      </c>
      <c r="P14" s="42">
        <v>45869</v>
      </c>
      <c r="Q14" s="43">
        <v>1490.8</v>
      </c>
      <c r="R14" s="43">
        <v>1501.2</v>
      </c>
      <c r="S14" s="43">
        <v>1488.5</v>
      </c>
      <c r="T14" s="43">
        <v>1491</v>
      </c>
      <c r="U14" s="43">
        <v>1493.6</v>
      </c>
      <c r="V14" s="43">
        <v>1491</v>
      </c>
      <c r="W14" s="44">
        <v>6068500</v>
      </c>
      <c r="X14" s="43">
        <v>9064229500</v>
      </c>
      <c r="Y14" s="43">
        <v>9064229500</v>
      </c>
      <c r="Z14" s="44">
        <v>64655000</v>
      </c>
      <c r="AA14" s="44">
        <v>521000</v>
      </c>
      <c r="AB14" s="42">
        <v>45877</v>
      </c>
      <c r="AC14" s="42">
        <v>45897</v>
      </c>
      <c r="AD14" s="3" t="s">
        <v>107</v>
      </c>
      <c r="AE14" s="3" t="s">
        <v>108</v>
      </c>
      <c r="AF14" s="43">
        <v>1390</v>
      </c>
      <c r="AG14" s="43">
        <v>1397.4</v>
      </c>
      <c r="AH14" s="43">
        <v>1366</v>
      </c>
      <c r="AI14" s="43">
        <v>1368.3</v>
      </c>
      <c r="AJ14" s="43">
        <v>1367</v>
      </c>
      <c r="AK14" s="43">
        <v>1368.3</v>
      </c>
      <c r="AL14" s="44">
        <v>10447500</v>
      </c>
      <c r="AM14" s="43">
        <v>14373506000</v>
      </c>
      <c r="AN14" s="43">
        <v>14373506000</v>
      </c>
      <c r="AO14" s="44">
        <v>108693000</v>
      </c>
      <c r="AP14" s="44">
        <v>2079500</v>
      </c>
      <c r="AQ14" s="42">
        <v>45912</v>
      </c>
      <c r="AR14" s="42">
        <v>45930</v>
      </c>
      <c r="AS14" s="3" t="s">
        <v>107</v>
      </c>
      <c r="AT14" s="3" t="s">
        <v>108</v>
      </c>
      <c r="AU14" s="43">
        <v>1390</v>
      </c>
      <c r="AV14" s="43">
        <v>1401.3</v>
      </c>
      <c r="AW14" s="43">
        <v>1385.4</v>
      </c>
      <c r="AX14" s="43">
        <v>1398.9</v>
      </c>
      <c r="AY14" s="43">
        <v>1398.7</v>
      </c>
      <c r="AZ14" s="43">
        <v>1398.9</v>
      </c>
      <c r="BA14" s="44">
        <v>8384000</v>
      </c>
      <c r="BB14" s="43">
        <v>11716068650</v>
      </c>
      <c r="BC14" s="43">
        <v>11716068650</v>
      </c>
      <c r="BD14" s="44">
        <v>119790500</v>
      </c>
      <c r="BE14" s="44">
        <v>-651500</v>
      </c>
    </row>
    <row r="15" spans="1:57" x14ac:dyDescent="0.3">
      <c r="A15" s="42">
        <v>45856</v>
      </c>
      <c r="B15" s="3" t="s">
        <v>106</v>
      </c>
      <c r="C15" s="43">
        <v>1484.8</v>
      </c>
      <c r="D15" s="43">
        <v>1484.8</v>
      </c>
      <c r="E15" s="43">
        <v>1469.1</v>
      </c>
      <c r="F15" s="43">
        <v>1476.4</v>
      </c>
      <c r="G15" s="43">
        <v>1476</v>
      </c>
      <c r="H15" s="43">
        <v>1476</v>
      </c>
      <c r="I15" s="43">
        <v>1475.2</v>
      </c>
      <c r="J15" s="43">
        <v>3211.7</v>
      </c>
      <c r="K15" s="43">
        <v>1114.8499999999999</v>
      </c>
      <c r="L15" s="44">
        <v>10296318</v>
      </c>
      <c r="M15" s="43">
        <v>15189104342</v>
      </c>
      <c r="N15" s="44">
        <v>222241</v>
      </c>
      <c r="O15" s="42">
        <v>45852</v>
      </c>
      <c r="P15" s="42">
        <v>45869</v>
      </c>
      <c r="Q15" s="43">
        <v>1495</v>
      </c>
      <c r="R15" s="43">
        <v>1505.2</v>
      </c>
      <c r="S15" s="43">
        <v>1484.5</v>
      </c>
      <c r="T15" s="43">
        <v>1488.8</v>
      </c>
      <c r="U15" s="43">
        <v>1489.9</v>
      </c>
      <c r="V15" s="43">
        <v>1488.8</v>
      </c>
      <c r="W15" s="44">
        <v>8462000</v>
      </c>
      <c r="X15" s="43">
        <v>12628300550</v>
      </c>
      <c r="Y15" s="43">
        <v>12628300550</v>
      </c>
      <c r="Z15" s="44">
        <v>64134000</v>
      </c>
      <c r="AA15" s="44">
        <v>-1411000</v>
      </c>
      <c r="AB15" s="42">
        <v>45876</v>
      </c>
      <c r="AC15" s="42">
        <v>45897</v>
      </c>
      <c r="AD15" s="3" t="s">
        <v>107</v>
      </c>
      <c r="AE15" s="3" t="s">
        <v>108</v>
      </c>
      <c r="AF15" s="43">
        <v>1386.7</v>
      </c>
      <c r="AG15" s="43">
        <v>1395</v>
      </c>
      <c r="AH15" s="43">
        <v>1365</v>
      </c>
      <c r="AI15" s="43">
        <v>1390.6</v>
      </c>
      <c r="AJ15" s="43">
        <v>1393</v>
      </c>
      <c r="AK15" s="43">
        <v>1390.6</v>
      </c>
      <c r="AL15" s="44">
        <v>12856500</v>
      </c>
      <c r="AM15" s="43">
        <v>17761941600</v>
      </c>
      <c r="AN15" s="43">
        <v>17761941600</v>
      </c>
      <c r="AO15" s="44">
        <v>106613500</v>
      </c>
      <c r="AP15" s="44">
        <v>551500</v>
      </c>
      <c r="AQ15" s="42">
        <v>45911</v>
      </c>
      <c r="AR15" s="42">
        <v>45930</v>
      </c>
      <c r="AS15" s="3" t="s">
        <v>107</v>
      </c>
      <c r="AT15" s="3" t="s">
        <v>108</v>
      </c>
      <c r="AU15" s="43">
        <v>1383.6</v>
      </c>
      <c r="AV15" s="43">
        <v>1391.8</v>
      </c>
      <c r="AW15" s="43">
        <v>1381</v>
      </c>
      <c r="AX15" s="43">
        <v>1389.4</v>
      </c>
      <c r="AY15" s="43">
        <v>1388.7</v>
      </c>
      <c r="AZ15" s="43">
        <v>1389.4</v>
      </c>
      <c r="BA15" s="44">
        <v>7996000</v>
      </c>
      <c r="BB15" s="43">
        <v>11102762600</v>
      </c>
      <c r="BC15" s="43">
        <v>11102762600</v>
      </c>
      <c r="BD15" s="44">
        <v>120442000</v>
      </c>
      <c r="BE15" s="44">
        <v>464500</v>
      </c>
    </row>
    <row r="16" spans="1:57" x14ac:dyDescent="0.3">
      <c r="A16" s="42">
        <v>45859</v>
      </c>
      <c r="B16" s="3" t="s">
        <v>106</v>
      </c>
      <c r="C16" s="43">
        <v>1465</v>
      </c>
      <c r="D16" s="43">
        <v>1476</v>
      </c>
      <c r="E16" s="43">
        <v>1423.1</v>
      </c>
      <c r="F16" s="43">
        <v>1476</v>
      </c>
      <c r="G16" s="43">
        <v>1428.2</v>
      </c>
      <c r="H16" s="43">
        <v>1428.6</v>
      </c>
      <c r="I16" s="43">
        <v>1435.24</v>
      </c>
      <c r="J16" s="43">
        <v>3079.45</v>
      </c>
      <c r="K16" s="43">
        <v>1114.8499999999999</v>
      </c>
      <c r="L16" s="44">
        <v>22442744</v>
      </c>
      <c r="M16" s="43">
        <v>32210751693.5</v>
      </c>
      <c r="N16" s="44">
        <v>630358</v>
      </c>
      <c r="O16" s="42">
        <v>45849</v>
      </c>
      <c r="P16" s="42">
        <v>45869</v>
      </c>
      <c r="Q16" s="43">
        <v>1515</v>
      </c>
      <c r="R16" s="43">
        <v>1518</v>
      </c>
      <c r="S16" s="43">
        <v>1495.8</v>
      </c>
      <c r="T16" s="43">
        <v>1500.7</v>
      </c>
      <c r="U16" s="43">
        <v>1500.3</v>
      </c>
      <c r="V16" s="43">
        <v>1500.7</v>
      </c>
      <c r="W16" s="44">
        <v>8445000</v>
      </c>
      <c r="X16" s="43">
        <v>12692153550</v>
      </c>
      <c r="Y16" s="43">
        <v>12692153550</v>
      </c>
      <c r="Z16" s="44">
        <v>65545000</v>
      </c>
      <c r="AA16" s="44">
        <v>-347000</v>
      </c>
      <c r="AB16" s="42">
        <v>45875</v>
      </c>
      <c r="AC16" s="42">
        <v>45897</v>
      </c>
      <c r="AD16" s="3" t="s">
        <v>107</v>
      </c>
      <c r="AE16" s="3" t="s">
        <v>108</v>
      </c>
      <c r="AF16" s="43">
        <v>1388</v>
      </c>
      <c r="AG16" s="43">
        <v>1395.7</v>
      </c>
      <c r="AH16" s="43">
        <v>1384.1</v>
      </c>
      <c r="AI16" s="43">
        <v>1393.5</v>
      </c>
      <c r="AJ16" s="43">
        <v>1393</v>
      </c>
      <c r="AK16" s="43">
        <v>1393.5</v>
      </c>
      <c r="AL16" s="44">
        <v>7299000</v>
      </c>
      <c r="AM16" s="43">
        <v>10149213950</v>
      </c>
      <c r="AN16" s="43">
        <v>10149213950</v>
      </c>
      <c r="AO16" s="44">
        <v>106062000</v>
      </c>
      <c r="AP16" s="44">
        <v>-203000</v>
      </c>
      <c r="AQ16" s="42">
        <v>45910</v>
      </c>
      <c r="AR16" s="42">
        <v>45930</v>
      </c>
      <c r="AS16" s="3" t="s">
        <v>107</v>
      </c>
      <c r="AT16" s="3" t="s">
        <v>108</v>
      </c>
      <c r="AU16" s="43">
        <v>1386.1</v>
      </c>
      <c r="AV16" s="43">
        <v>1393</v>
      </c>
      <c r="AW16" s="43">
        <v>1381</v>
      </c>
      <c r="AX16" s="43">
        <v>1383.6</v>
      </c>
      <c r="AY16" s="43">
        <v>1384.3</v>
      </c>
      <c r="AZ16" s="43">
        <v>1383.6</v>
      </c>
      <c r="BA16" s="44">
        <v>8190500</v>
      </c>
      <c r="BB16" s="43">
        <v>11353919250</v>
      </c>
      <c r="BC16" s="43">
        <v>11353919250</v>
      </c>
      <c r="BD16" s="44">
        <v>119977500</v>
      </c>
      <c r="BE16" s="44">
        <v>-350000</v>
      </c>
    </row>
    <row r="17" spans="1:57" x14ac:dyDescent="0.3">
      <c r="A17" s="42">
        <v>45860</v>
      </c>
      <c r="B17" s="3" t="s">
        <v>106</v>
      </c>
      <c r="C17" s="43">
        <v>1427.4</v>
      </c>
      <c r="D17" s="43">
        <v>1431.9</v>
      </c>
      <c r="E17" s="43">
        <v>1410.7</v>
      </c>
      <c r="F17" s="43">
        <v>1428.6</v>
      </c>
      <c r="G17" s="43">
        <v>1413.8</v>
      </c>
      <c r="H17" s="43">
        <v>1412.8</v>
      </c>
      <c r="I17" s="43">
        <v>1417.05</v>
      </c>
      <c r="J17" s="43">
        <v>3079.45</v>
      </c>
      <c r="K17" s="43">
        <v>1114.8499999999999</v>
      </c>
      <c r="L17" s="44">
        <v>20396320</v>
      </c>
      <c r="M17" s="43">
        <v>28902700383.400002</v>
      </c>
      <c r="N17" s="44">
        <v>504145</v>
      </c>
      <c r="O17" s="42">
        <v>45848</v>
      </c>
      <c r="P17" s="42">
        <v>45869</v>
      </c>
      <c r="Q17" s="43">
        <v>1525.7</v>
      </c>
      <c r="R17" s="43">
        <v>1527.6</v>
      </c>
      <c r="S17" s="43">
        <v>1512.3</v>
      </c>
      <c r="T17" s="43">
        <v>1519.7</v>
      </c>
      <c r="U17" s="43">
        <v>1519.7</v>
      </c>
      <c r="V17" s="43">
        <v>1519.7</v>
      </c>
      <c r="W17" s="44">
        <v>10571500</v>
      </c>
      <c r="X17" s="43">
        <v>16057643550</v>
      </c>
      <c r="Y17" s="43">
        <v>16057643550</v>
      </c>
      <c r="Z17" s="44">
        <v>65892000</v>
      </c>
      <c r="AA17" s="44">
        <v>-1931000</v>
      </c>
      <c r="AB17" s="42">
        <v>45874</v>
      </c>
      <c r="AC17" s="42">
        <v>45897</v>
      </c>
      <c r="AD17" s="3" t="s">
        <v>107</v>
      </c>
      <c r="AE17" s="3" t="s">
        <v>108</v>
      </c>
      <c r="AF17" s="43">
        <v>1409</v>
      </c>
      <c r="AG17" s="43">
        <v>1413.2</v>
      </c>
      <c r="AH17" s="43">
        <v>1386.7</v>
      </c>
      <c r="AI17" s="43">
        <v>1389.9</v>
      </c>
      <c r="AJ17" s="43">
        <v>1390.1</v>
      </c>
      <c r="AK17" s="43">
        <v>1389.9</v>
      </c>
      <c r="AL17" s="44">
        <v>9332500</v>
      </c>
      <c r="AM17" s="43">
        <v>13007395500</v>
      </c>
      <c r="AN17" s="43">
        <v>13007395500</v>
      </c>
      <c r="AO17" s="44">
        <v>106265000</v>
      </c>
      <c r="AP17" s="44">
        <v>949000</v>
      </c>
      <c r="AQ17" s="42">
        <v>45909</v>
      </c>
      <c r="AR17" s="42">
        <v>45930</v>
      </c>
      <c r="AS17" s="3" t="s">
        <v>107</v>
      </c>
      <c r="AT17" s="3" t="s">
        <v>108</v>
      </c>
      <c r="AU17" s="43">
        <v>1383</v>
      </c>
      <c r="AV17" s="43">
        <v>1385.9</v>
      </c>
      <c r="AW17" s="43">
        <v>1375.1</v>
      </c>
      <c r="AX17" s="43">
        <v>1380</v>
      </c>
      <c r="AY17" s="43">
        <v>1380</v>
      </c>
      <c r="AZ17" s="43">
        <v>1380</v>
      </c>
      <c r="BA17" s="44">
        <v>6549000</v>
      </c>
      <c r="BB17" s="43">
        <v>9038637150</v>
      </c>
      <c r="BC17" s="43">
        <v>9038637150</v>
      </c>
      <c r="BD17" s="44">
        <v>120327500</v>
      </c>
      <c r="BE17" s="44">
        <v>106000</v>
      </c>
    </row>
    <row r="18" spans="1:57" x14ac:dyDescent="0.3">
      <c r="A18" s="42">
        <v>45861</v>
      </c>
      <c r="B18" s="3" t="s">
        <v>106</v>
      </c>
      <c r="C18" s="43">
        <v>1426</v>
      </c>
      <c r="D18" s="43">
        <v>1426</v>
      </c>
      <c r="E18" s="43">
        <v>1414.4</v>
      </c>
      <c r="F18" s="43">
        <v>1412.8</v>
      </c>
      <c r="G18" s="43">
        <v>1425</v>
      </c>
      <c r="H18" s="43">
        <v>1424.6</v>
      </c>
      <c r="I18" s="43">
        <v>1421.41</v>
      </c>
      <c r="J18" s="43">
        <v>3079.45</v>
      </c>
      <c r="K18" s="43">
        <v>1114.8499999999999</v>
      </c>
      <c r="L18" s="44">
        <v>8354596</v>
      </c>
      <c r="M18" s="43">
        <v>11875315134.700001</v>
      </c>
      <c r="N18" s="44">
        <v>225103</v>
      </c>
      <c r="O18" s="42">
        <v>45847</v>
      </c>
      <c r="P18" s="42">
        <v>45869</v>
      </c>
      <c r="Q18" s="43">
        <v>1543.3</v>
      </c>
      <c r="R18" s="43">
        <v>1555.7</v>
      </c>
      <c r="S18" s="43">
        <v>1513.6</v>
      </c>
      <c r="T18" s="43">
        <v>1524.6</v>
      </c>
      <c r="U18" s="43">
        <v>1526.1</v>
      </c>
      <c r="V18" s="43">
        <v>1524.6</v>
      </c>
      <c r="W18" s="44">
        <v>14766000</v>
      </c>
      <c r="X18" s="43">
        <v>22644059900</v>
      </c>
      <c r="Y18" s="43">
        <v>22644059900</v>
      </c>
      <c r="Z18" s="44">
        <v>67823000</v>
      </c>
      <c r="AA18" s="44">
        <v>-961000</v>
      </c>
      <c r="AB18" s="42">
        <v>45873</v>
      </c>
      <c r="AC18" s="42">
        <v>45897</v>
      </c>
      <c r="AD18" s="3" t="s">
        <v>107</v>
      </c>
      <c r="AE18" s="3" t="s">
        <v>108</v>
      </c>
      <c r="AF18" s="43">
        <v>1396.8</v>
      </c>
      <c r="AG18" s="43">
        <v>1414</v>
      </c>
      <c r="AH18" s="43">
        <v>1392.2</v>
      </c>
      <c r="AI18" s="43">
        <v>1409.9</v>
      </c>
      <c r="AJ18" s="43">
        <v>1410.9</v>
      </c>
      <c r="AK18" s="43">
        <v>1409.9</v>
      </c>
      <c r="AL18" s="44">
        <v>8467000</v>
      </c>
      <c r="AM18" s="43">
        <v>11925367700</v>
      </c>
      <c r="AN18" s="43">
        <v>11925367700</v>
      </c>
      <c r="AO18" s="44">
        <v>105316000</v>
      </c>
      <c r="AP18" s="44">
        <v>-735000</v>
      </c>
      <c r="AQ18" s="42">
        <v>45908</v>
      </c>
      <c r="AR18" s="42">
        <v>45930</v>
      </c>
      <c r="AS18" s="3" t="s">
        <v>107</v>
      </c>
      <c r="AT18" s="3" t="s">
        <v>108</v>
      </c>
      <c r="AU18" s="43">
        <v>1382.9</v>
      </c>
      <c r="AV18" s="43">
        <v>1390</v>
      </c>
      <c r="AW18" s="43">
        <v>1376.2</v>
      </c>
      <c r="AX18" s="43">
        <v>1382.3</v>
      </c>
      <c r="AY18" s="43">
        <v>1383.3</v>
      </c>
      <c r="AZ18" s="43">
        <v>1382.3</v>
      </c>
      <c r="BA18" s="44">
        <v>7284000</v>
      </c>
      <c r="BB18" s="43">
        <v>10076395800</v>
      </c>
      <c r="BC18" s="43">
        <v>10076395800</v>
      </c>
      <c r="BD18" s="44">
        <v>120221500</v>
      </c>
      <c r="BE18" s="44">
        <v>-1370000</v>
      </c>
    </row>
    <row r="19" spans="1:57" x14ac:dyDescent="0.3">
      <c r="A19" s="42">
        <v>45862</v>
      </c>
      <c r="B19" s="3" t="s">
        <v>106</v>
      </c>
      <c r="C19" s="43">
        <v>1419.2</v>
      </c>
      <c r="D19" s="43">
        <v>1423</v>
      </c>
      <c r="E19" s="43">
        <v>1396</v>
      </c>
      <c r="F19" s="43">
        <v>1424.6</v>
      </c>
      <c r="G19" s="43">
        <v>1402.8</v>
      </c>
      <c r="H19" s="43">
        <v>1402.9</v>
      </c>
      <c r="I19" s="43">
        <v>1407.06</v>
      </c>
      <c r="J19" s="43">
        <v>3079.45</v>
      </c>
      <c r="K19" s="43">
        <v>1114.8499999999999</v>
      </c>
      <c r="L19" s="44">
        <v>14740507</v>
      </c>
      <c r="M19" s="43">
        <v>20740788758.299999</v>
      </c>
      <c r="N19" s="44">
        <v>314670</v>
      </c>
      <c r="O19" s="42">
        <v>45846</v>
      </c>
      <c r="P19" s="42">
        <v>45869</v>
      </c>
      <c r="Q19" s="43">
        <v>1538.1</v>
      </c>
      <c r="R19" s="43">
        <v>1549.9</v>
      </c>
      <c r="S19" s="43">
        <v>1537.2</v>
      </c>
      <c r="T19" s="43">
        <v>1545.1</v>
      </c>
      <c r="U19" s="43">
        <v>1545.9</v>
      </c>
      <c r="V19" s="43">
        <v>1545.1</v>
      </c>
      <c r="W19" s="44">
        <v>6583000</v>
      </c>
      <c r="X19" s="43">
        <v>10155652500</v>
      </c>
      <c r="Y19" s="43">
        <v>10155652500</v>
      </c>
      <c r="Z19" s="44">
        <v>68784000</v>
      </c>
      <c r="AA19" s="44">
        <v>-536000</v>
      </c>
      <c r="AB19" s="42">
        <v>45870</v>
      </c>
      <c r="AC19" s="42">
        <v>45897</v>
      </c>
      <c r="AD19" s="3" t="s">
        <v>107</v>
      </c>
      <c r="AE19" s="3" t="s">
        <v>108</v>
      </c>
      <c r="AF19" s="43">
        <v>1391.7</v>
      </c>
      <c r="AG19" s="43">
        <v>1405.7</v>
      </c>
      <c r="AH19" s="43">
        <v>1385.8</v>
      </c>
      <c r="AI19" s="43">
        <v>1392.9</v>
      </c>
      <c r="AJ19" s="43">
        <v>1392.2</v>
      </c>
      <c r="AK19" s="43">
        <v>1392.9</v>
      </c>
      <c r="AL19" s="44">
        <v>10397500</v>
      </c>
      <c r="AM19" s="43">
        <v>14522572600</v>
      </c>
      <c r="AN19" s="43">
        <v>14522572600</v>
      </c>
      <c r="AO19" s="44">
        <v>106051000</v>
      </c>
      <c r="AP19" s="44">
        <v>-1177000</v>
      </c>
      <c r="AQ19" s="42">
        <v>45905</v>
      </c>
      <c r="AR19" s="42">
        <v>45930</v>
      </c>
      <c r="AS19" s="3" t="s">
        <v>107</v>
      </c>
      <c r="AT19" s="3" t="s">
        <v>108</v>
      </c>
      <c r="AU19" s="43">
        <v>1369.5</v>
      </c>
      <c r="AV19" s="43">
        <v>1384.5</v>
      </c>
      <c r="AW19" s="43">
        <v>1362.7</v>
      </c>
      <c r="AX19" s="43">
        <v>1378.6</v>
      </c>
      <c r="AY19" s="43">
        <v>1378</v>
      </c>
      <c r="AZ19" s="43">
        <v>1378.6</v>
      </c>
      <c r="BA19" s="44">
        <v>10432000</v>
      </c>
      <c r="BB19" s="43">
        <v>14330404800</v>
      </c>
      <c r="BC19" s="43">
        <v>14330404800</v>
      </c>
      <c r="BD19" s="44">
        <v>121591500</v>
      </c>
      <c r="BE19" s="44">
        <v>-1421000</v>
      </c>
    </row>
    <row r="20" spans="1:57" x14ac:dyDescent="0.3">
      <c r="A20" s="42">
        <v>45863</v>
      </c>
      <c r="B20" s="3" t="s">
        <v>106</v>
      </c>
      <c r="C20" s="43">
        <v>1398.9</v>
      </c>
      <c r="D20" s="43">
        <v>1401</v>
      </c>
      <c r="E20" s="43">
        <v>1384.1</v>
      </c>
      <c r="F20" s="43">
        <v>1402.9</v>
      </c>
      <c r="G20" s="43">
        <v>1392.4</v>
      </c>
      <c r="H20" s="43">
        <v>1391.7</v>
      </c>
      <c r="I20" s="43">
        <v>1394.22</v>
      </c>
      <c r="J20" s="43">
        <v>3079.45</v>
      </c>
      <c r="K20" s="43">
        <v>1114.8499999999999</v>
      </c>
      <c r="L20" s="44">
        <v>11854722</v>
      </c>
      <c r="M20" s="43">
        <v>16528044233.5</v>
      </c>
      <c r="N20" s="44">
        <v>237018</v>
      </c>
      <c r="O20" s="42">
        <v>45845</v>
      </c>
      <c r="P20" s="42">
        <v>45869</v>
      </c>
      <c r="Q20" s="43">
        <v>1530</v>
      </c>
      <c r="R20" s="43">
        <v>1548</v>
      </c>
      <c r="S20" s="43">
        <v>1529.6</v>
      </c>
      <c r="T20" s="43">
        <v>1544.5</v>
      </c>
      <c r="U20" s="43">
        <v>1545</v>
      </c>
      <c r="V20" s="43">
        <v>1544.5</v>
      </c>
      <c r="W20" s="44">
        <v>7700500</v>
      </c>
      <c r="X20" s="43">
        <v>11873982600</v>
      </c>
      <c r="Y20" s="43">
        <v>11873982600</v>
      </c>
      <c r="Z20" s="44">
        <v>69320000</v>
      </c>
      <c r="AA20" s="44">
        <v>-635500</v>
      </c>
      <c r="AB20" s="42">
        <v>45869</v>
      </c>
      <c r="AC20" s="42">
        <v>45897</v>
      </c>
      <c r="AD20" s="3" t="s">
        <v>107</v>
      </c>
      <c r="AE20" s="3" t="s">
        <v>108</v>
      </c>
      <c r="AF20" s="43">
        <v>1385</v>
      </c>
      <c r="AG20" s="43">
        <v>1406.3</v>
      </c>
      <c r="AH20" s="43">
        <v>1385</v>
      </c>
      <c r="AI20" s="43">
        <v>1393.9</v>
      </c>
      <c r="AJ20" s="43">
        <v>1393.8</v>
      </c>
      <c r="AK20" s="43">
        <v>1393.9</v>
      </c>
      <c r="AL20" s="44">
        <v>22420000</v>
      </c>
      <c r="AM20" s="43">
        <v>31328480050</v>
      </c>
      <c r="AN20" s="43">
        <v>31328480050</v>
      </c>
      <c r="AO20" s="44">
        <v>107228000</v>
      </c>
      <c r="AP20" s="44">
        <v>11027500</v>
      </c>
      <c r="AQ20" s="42">
        <v>45904</v>
      </c>
      <c r="AR20" s="42">
        <v>45930</v>
      </c>
      <c r="AS20" s="3" t="s">
        <v>107</v>
      </c>
      <c r="AT20" s="3" t="s">
        <v>108</v>
      </c>
      <c r="AU20" s="43">
        <v>1377</v>
      </c>
      <c r="AV20" s="43">
        <v>1381.9</v>
      </c>
      <c r="AW20" s="43">
        <v>1364.1</v>
      </c>
      <c r="AX20" s="43">
        <v>1365.9</v>
      </c>
      <c r="AY20" s="43">
        <v>1365.8</v>
      </c>
      <c r="AZ20" s="43">
        <v>1365.9</v>
      </c>
      <c r="BA20" s="44">
        <v>11116500</v>
      </c>
      <c r="BB20" s="43">
        <v>15239147250</v>
      </c>
      <c r="BC20" s="43">
        <v>15239147250</v>
      </c>
      <c r="BD20" s="44">
        <v>123012500</v>
      </c>
      <c r="BE20" s="44">
        <v>2543000</v>
      </c>
    </row>
    <row r="21" spans="1:57" x14ac:dyDescent="0.3">
      <c r="A21" s="42">
        <v>45866</v>
      </c>
      <c r="B21" s="3" t="s">
        <v>106</v>
      </c>
      <c r="C21" s="43">
        <v>1392.3</v>
      </c>
      <c r="D21" s="43">
        <v>1407.8</v>
      </c>
      <c r="E21" s="43">
        <v>1385</v>
      </c>
      <c r="F21" s="43">
        <v>1391.7</v>
      </c>
      <c r="G21" s="43">
        <v>1387.1</v>
      </c>
      <c r="H21" s="43">
        <v>1387.6</v>
      </c>
      <c r="I21" s="43">
        <v>1394.17</v>
      </c>
      <c r="J21" s="43">
        <v>3079.45</v>
      </c>
      <c r="K21" s="43">
        <v>1114.8499999999999</v>
      </c>
      <c r="L21" s="44">
        <v>7748361</v>
      </c>
      <c r="M21" s="43">
        <v>10802552328.1</v>
      </c>
      <c r="N21" s="44">
        <v>198421</v>
      </c>
      <c r="O21" s="42">
        <v>45842</v>
      </c>
      <c r="P21" s="42">
        <v>45869</v>
      </c>
      <c r="Q21" s="43">
        <v>1528.6</v>
      </c>
      <c r="R21" s="43">
        <v>1533.8</v>
      </c>
      <c r="S21" s="43">
        <v>1521</v>
      </c>
      <c r="T21" s="43">
        <v>1531.3</v>
      </c>
      <c r="U21" s="43">
        <v>1531.3</v>
      </c>
      <c r="V21" s="43">
        <v>1531.3</v>
      </c>
      <c r="W21" s="44">
        <v>6211500</v>
      </c>
      <c r="X21" s="43">
        <v>9488296800</v>
      </c>
      <c r="Y21" s="43">
        <v>9488296800</v>
      </c>
      <c r="Z21" s="44">
        <v>69955500</v>
      </c>
      <c r="AA21" s="44">
        <v>-482500</v>
      </c>
      <c r="AB21" s="42">
        <v>45868</v>
      </c>
      <c r="AC21" s="42">
        <v>45897</v>
      </c>
      <c r="AD21" s="3" t="s">
        <v>107</v>
      </c>
      <c r="AE21" s="3" t="s">
        <v>108</v>
      </c>
      <c r="AF21" s="43">
        <v>1422</v>
      </c>
      <c r="AG21" s="43">
        <v>1429.9</v>
      </c>
      <c r="AH21" s="43">
        <v>1407.4</v>
      </c>
      <c r="AI21" s="43">
        <v>1412.9</v>
      </c>
      <c r="AJ21" s="43">
        <v>1415.1</v>
      </c>
      <c r="AK21" s="43">
        <v>1412.9</v>
      </c>
      <c r="AL21" s="44">
        <v>19984500</v>
      </c>
      <c r="AM21" s="43">
        <v>28307577750</v>
      </c>
      <c r="AN21" s="43">
        <v>28307577750</v>
      </c>
      <c r="AO21" s="44">
        <v>96200500</v>
      </c>
      <c r="AP21" s="44">
        <v>10624000</v>
      </c>
      <c r="AQ21" s="42">
        <v>45903</v>
      </c>
      <c r="AR21" s="42">
        <v>45930</v>
      </c>
      <c r="AS21" s="3" t="s">
        <v>107</v>
      </c>
      <c r="AT21" s="3" t="s">
        <v>108</v>
      </c>
      <c r="AU21" s="43">
        <v>1375.9</v>
      </c>
      <c r="AV21" s="43">
        <v>1381</v>
      </c>
      <c r="AW21" s="43">
        <v>1365.6</v>
      </c>
      <c r="AX21" s="43">
        <v>1377.2</v>
      </c>
      <c r="AY21" s="43">
        <v>1377</v>
      </c>
      <c r="AZ21" s="43">
        <v>1377.2</v>
      </c>
      <c r="BA21" s="44">
        <v>9499000</v>
      </c>
      <c r="BB21" s="43">
        <v>13049198000</v>
      </c>
      <c r="BC21" s="43">
        <v>13049198000</v>
      </c>
      <c r="BD21" s="44">
        <v>120469500</v>
      </c>
      <c r="BE21" s="44">
        <v>-639500</v>
      </c>
    </row>
    <row r="22" spans="1:57" x14ac:dyDescent="0.3">
      <c r="A22" s="42">
        <v>45867</v>
      </c>
      <c r="B22" s="3" t="s">
        <v>106</v>
      </c>
      <c r="C22" s="43">
        <v>1383</v>
      </c>
      <c r="D22" s="43">
        <v>1420.2</v>
      </c>
      <c r="E22" s="43">
        <v>1383</v>
      </c>
      <c r="F22" s="43">
        <v>1387.6</v>
      </c>
      <c r="G22" s="43">
        <v>1416.6</v>
      </c>
      <c r="H22" s="43">
        <v>1417.1</v>
      </c>
      <c r="I22" s="43">
        <v>1402.99</v>
      </c>
      <c r="J22" s="43">
        <v>3079.45</v>
      </c>
      <c r="K22" s="43">
        <v>1114.8499999999999</v>
      </c>
      <c r="L22" s="44">
        <v>10750072</v>
      </c>
      <c r="M22" s="43">
        <v>15082211933.299999</v>
      </c>
      <c r="N22" s="44">
        <v>187813</v>
      </c>
      <c r="O22" s="42">
        <v>45841</v>
      </c>
      <c r="P22" s="42">
        <v>45869</v>
      </c>
      <c r="Q22" s="43">
        <v>1526.2</v>
      </c>
      <c r="R22" s="43">
        <v>1535.8</v>
      </c>
      <c r="S22" s="43">
        <v>1518.3</v>
      </c>
      <c r="T22" s="43">
        <v>1525.3</v>
      </c>
      <c r="U22" s="43">
        <v>1524</v>
      </c>
      <c r="V22" s="43">
        <v>1525.3</v>
      </c>
      <c r="W22" s="44">
        <v>8112500</v>
      </c>
      <c r="X22" s="43">
        <v>12392143150</v>
      </c>
      <c r="Y22" s="43">
        <v>12392143150</v>
      </c>
      <c r="Z22" s="44">
        <v>70438000</v>
      </c>
      <c r="AA22" s="44">
        <v>21500</v>
      </c>
      <c r="AB22" s="42">
        <v>45867</v>
      </c>
      <c r="AC22" s="42">
        <v>45897</v>
      </c>
      <c r="AD22" s="3" t="s">
        <v>107</v>
      </c>
      <c r="AE22" s="3" t="s">
        <v>108</v>
      </c>
      <c r="AF22" s="43">
        <v>1391.7</v>
      </c>
      <c r="AG22" s="43">
        <v>1422</v>
      </c>
      <c r="AH22" s="43">
        <v>1388.9</v>
      </c>
      <c r="AI22" s="43">
        <v>1420</v>
      </c>
      <c r="AJ22" s="43">
        <v>1420.3</v>
      </c>
      <c r="AK22" s="43">
        <v>1420</v>
      </c>
      <c r="AL22" s="44">
        <v>22590000</v>
      </c>
      <c r="AM22" s="43">
        <v>31739274000</v>
      </c>
      <c r="AN22" s="43">
        <v>31739274000</v>
      </c>
      <c r="AO22" s="44">
        <v>85576500</v>
      </c>
      <c r="AP22" s="44">
        <v>13594500</v>
      </c>
      <c r="AQ22" s="42">
        <v>45902</v>
      </c>
      <c r="AR22" s="42">
        <v>45930</v>
      </c>
      <c r="AS22" s="3" t="s">
        <v>107</v>
      </c>
      <c r="AT22" s="3" t="s">
        <v>108</v>
      </c>
      <c r="AU22" s="43">
        <v>1363.8</v>
      </c>
      <c r="AV22" s="43">
        <v>1392</v>
      </c>
      <c r="AW22" s="43">
        <v>1362.9</v>
      </c>
      <c r="AX22" s="43">
        <v>1372.6</v>
      </c>
      <c r="AY22" s="43">
        <v>1371</v>
      </c>
      <c r="AZ22" s="43">
        <v>1372.6</v>
      </c>
      <c r="BA22" s="44">
        <v>21792000</v>
      </c>
      <c r="BB22" s="43">
        <v>30098584000</v>
      </c>
      <c r="BC22" s="43">
        <v>30098584000</v>
      </c>
      <c r="BD22" s="44">
        <v>121109000</v>
      </c>
      <c r="BE22" s="44">
        <v>-264000</v>
      </c>
    </row>
    <row r="23" spans="1:57" x14ac:dyDescent="0.3">
      <c r="A23" s="42">
        <v>45868</v>
      </c>
      <c r="B23" s="3" t="s">
        <v>106</v>
      </c>
      <c r="C23" s="43">
        <v>1418.1</v>
      </c>
      <c r="D23" s="43">
        <v>1423.3</v>
      </c>
      <c r="E23" s="43">
        <v>1401.3</v>
      </c>
      <c r="F23" s="43">
        <v>1417.1</v>
      </c>
      <c r="G23" s="43">
        <v>1409.7</v>
      </c>
      <c r="H23" s="43">
        <v>1410.1</v>
      </c>
      <c r="I23" s="43">
        <v>1411.5</v>
      </c>
      <c r="J23" s="43">
        <v>3079.45</v>
      </c>
      <c r="K23" s="43">
        <v>1114.8499999999999</v>
      </c>
      <c r="L23" s="44">
        <v>7209849</v>
      </c>
      <c r="M23" s="43">
        <v>10176719970.799999</v>
      </c>
      <c r="N23" s="44">
        <v>167311</v>
      </c>
      <c r="O23" s="42">
        <v>45840</v>
      </c>
      <c r="P23" s="42">
        <v>45869</v>
      </c>
      <c r="Q23" s="43">
        <v>1534.3</v>
      </c>
      <c r="R23" s="43">
        <v>1536.6</v>
      </c>
      <c r="S23" s="43">
        <v>1516</v>
      </c>
      <c r="T23" s="43">
        <v>1523.2</v>
      </c>
      <c r="U23" s="43">
        <v>1521.9</v>
      </c>
      <c r="V23" s="43">
        <v>1523.2</v>
      </c>
      <c r="W23" s="44">
        <v>6722500</v>
      </c>
      <c r="X23" s="43">
        <v>10241530500</v>
      </c>
      <c r="Y23" s="43">
        <v>10241530500</v>
      </c>
      <c r="Z23" s="44">
        <v>70416500</v>
      </c>
      <c r="AA23" s="44">
        <v>-1102000</v>
      </c>
      <c r="AB23" s="42">
        <v>45866</v>
      </c>
      <c r="AC23" s="42">
        <v>45897</v>
      </c>
      <c r="AD23" s="3" t="s">
        <v>107</v>
      </c>
      <c r="AE23" s="3" t="s">
        <v>108</v>
      </c>
      <c r="AF23" s="43">
        <v>1394.1</v>
      </c>
      <c r="AG23" s="43">
        <v>1412</v>
      </c>
      <c r="AH23" s="43">
        <v>1388</v>
      </c>
      <c r="AI23" s="43">
        <v>1391.7</v>
      </c>
      <c r="AJ23" s="43">
        <v>1391.4</v>
      </c>
      <c r="AK23" s="43">
        <v>1391.7</v>
      </c>
      <c r="AL23" s="44">
        <v>20015000</v>
      </c>
      <c r="AM23" s="43">
        <v>28028086400</v>
      </c>
      <c r="AN23" s="43">
        <v>28028086400</v>
      </c>
      <c r="AO23" s="44">
        <v>71982000</v>
      </c>
      <c r="AP23" s="44">
        <v>15185000</v>
      </c>
      <c r="AQ23" s="42">
        <v>45901</v>
      </c>
      <c r="AR23" s="42">
        <v>45930</v>
      </c>
      <c r="AS23" s="3" t="s">
        <v>107</v>
      </c>
      <c r="AT23" s="3" t="s">
        <v>108</v>
      </c>
      <c r="AU23" s="43">
        <v>1362</v>
      </c>
      <c r="AV23" s="43">
        <v>1369.8</v>
      </c>
      <c r="AW23" s="43">
        <v>1348.9</v>
      </c>
      <c r="AX23" s="43">
        <v>1360.5</v>
      </c>
      <c r="AY23" s="43">
        <v>1361.3</v>
      </c>
      <c r="AZ23" s="43">
        <v>1360.5</v>
      </c>
      <c r="BA23" s="44">
        <v>17408500</v>
      </c>
      <c r="BB23" s="43">
        <v>23688878300</v>
      </c>
      <c r="BC23" s="43">
        <v>23688878300</v>
      </c>
      <c r="BD23" s="44">
        <v>121373000</v>
      </c>
      <c r="BE23" s="44">
        <v>1983500</v>
      </c>
    </row>
    <row r="24" spans="1:57" x14ac:dyDescent="0.3">
      <c r="A24" s="42">
        <v>45869</v>
      </c>
      <c r="B24" s="3" t="s">
        <v>106</v>
      </c>
      <c r="C24" s="43">
        <v>1388.1</v>
      </c>
      <c r="D24" s="43">
        <v>1402.6</v>
      </c>
      <c r="E24" s="43">
        <v>1382.2</v>
      </c>
      <c r="F24" s="43">
        <v>1410.1</v>
      </c>
      <c r="G24" s="43">
        <v>1390</v>
      </c>
      <c r="H24" s="43">
        <v>1390.2</v>
      </c>
      <c r="I24" s="43">
        <v>1392.63</v>
      </c>
      <c r="J24" s="43">
        <v>3079.45</v>
      </c>
      <c r="K24" s="43">
        <v>1114.8499999999999</v>
      </c>
      <c r="L24" s="44">
        <v>17065827</v>
      </c>
      <c r="M24" s="43">
        <v>23766374015.299999</v>
      </c>
      <c r="N24" s="44">
        <v>373516</v>
      </c>
      <c r="O24" s="42">
        <v>45839</v>
      </c>
      <c r="P24" s="42">
        <v>45869</v>
      </c>
      <c r="Q24" s="43">
        <v>1515</v>
      </c>
      <c r="R24" s="43">
        <v>1535.5</v>
      </c>
      <c r="S24" s="43">
        <v>1508.4</v>
      </c>
      <c r="T24" s="43">
        <v>1532.1</v>
      </c>
      <c r="U24" s="43">
        <v>1531</v>
      </c>
      <c r="V24" s="43">
        <v>1532.1</v>
      </c>
      <c r="W24" s="44">
        <v>11030500</v>
      </c>
      <c r="X24" s="43">
        <v>16842501800</v>
      </c>
      <c r="Y24" s="43">
        <v>16842501800</v>
      </c>
      <c r="Z24" s="44">
        <v>71518500</v>
      </c>
      <c r="AA24" s="44">
        <v>363500</v>
      </c>
      <c r="AB24" s="42">
        <v>45863</v>
      </c>
      <c r="AC24" s="42">
        <v>45897</v>
      </c>
      <c r="AD24" s="3" t="s">
        <v>107</v>
      </c>
      <c r="AE24" s="3" t="s">
        <v>108</v>
      </c>
      <c r="AF24" s="43">
        <v>1404.5</v>
      </c>
      <c r="AG24" s="43">
        <v>1405.9</v>
      </c>
      <c r="AH24" s="43">
        <v>1389</v>
      </c>
      <c r="AI24" s="43">
        <v>1396.1</v>
      </c>
      <c r="AJ24" s="43">
        <v>1395.5</v>
      </c>
      <c r="AK24" s="43">
        <v>1396.1</v>
      </c>
      <c r="AL24" s="44">
        <v>7780000</v>
      </c>
      <c r="AM24" s="43">
        <v>10882329000</v>
      </c>
      <c r="AN24" s="43">
        <v>10882329000</v>
      </c>
      <c r="AO24" s="44">
        <v>56797000</v>
      </c>
      <c r="AP24" s="44">
        <v>3983500</v>
      </c>
      <c r="AQ24" s="42">
        <v>45898</v>
      </c>
      <c r="AR24" s="42">
        <v>45930</v>
      </c>
      <c r="AS24" s="3" t="s">
        <v>107</v>
      </c>
      <c r="AT24" s="3" t="s">
        <v>108</v>
      </c>
      <c r="AU24" s="43">
        <v>1400.1</v>
      </c>
      <c r="AV24" s="43">
        <v>1411.9</v>
      </c>
      <c r="AW24" s="43">
        <v>1358.1</v>
      </c>
      <c r="AX24" s="43">
        <v>1364.4</v>
      </c>
      <c r="AY24" s="43">
        <v>1364</v>
      </c>
      <c r="AZ24" s="43">
        <v>1364.4</v>
      </c>
      <c r="BA24" s="44">
        <v>33355000</v>
      </c>
      <c r="BB24" s="43">
        <v>46139470900</v>
      </c>
      <c r="BC24" s="43">
        <v>46139470900</v>
      </c>
      <c r="BD24" s="44">
        <v>119389500</v>
      </c>
      <c r="BE24" s="44">
        <v>2228000</v>
      </c>
    </row>
    <row r="25" spans="1:57" x14ac:dyDescent="0.3">
      <c r="A25" s="42">
        <v>45870</v>
      </c>
      <c r="B25" s="3" t="s">
        <v>106</v>
      </c>
      <c r="C25" s="43">
        <v>1386.9</v>
      </c>
      <c r="D25" s="43">
        <v>1405.9</v>
      </c>
      <c r="E25" s="43">
        <v>1384.3</v>
      </c>
      <c r="F25" s="43">
        <v>1390.2</v>
      </c>
      <c r="G25" s="43">
        <v>1394.1</v>
      </c>
      <c r="H25" s="43">
        <v>1393.7</v>
      </c>
      <c r="I25" s="43">
        <v>1397.47</v>
      </c>
      <c r="J25" s="43">
        <v>3079.45</v>
      </c>
      <c r="K25" s="43">
        <v>1114.8499999999999</v>
      </c>
      <c r="L25" s="44">
        <v>10321171</v>
      </c>
      <c r="M25" s="43">
        <v>14423488951.799999</v>
      </c>
      <c r="N25" s="44">
        <v>208431</v>
      </c>
      <c r="AB25" s="42">
        <v>45862</v>
      </c>
      <c r="AC25" s="42">
        <v>45897</v>
      </c>
      <c r="AD25" s="3" t="s">
        <v>107</v>
      </c>
      <c r="AE25" s="3" t="s">
        <v>108</v>
      </c>
      <c r="AF25" s="43">
        <v>1427.6</v>
      </c>
      <c r="AG25" s="43">
        <v>1427.8</v>
      </c>
      <c r="AH25" s="43">
        <v>1401</v>
      </c>
      <c r="AI25" s="43">
        <v>1408.6</v>
      </c>
      <c r="AJ25" s="43">
        <v>1408</v>
      </c>
      <c r="AK25" s="43">
        <v>1408.6</v>
      </c>
      <c r="AL25" s="44">
        <v>7227500</v>
      </c>
      <c r="AM25" s="43">
        <v>10211359750</v>
      </c>
      <c r="AN25" s="43">
        <v>10211359750</v>
      </c>
      <c r="AO25" s="44">
        <v>52813500</v>
      </c>
      <c r="AP25" s="44">
        <v>4571000</v>
      </c>
      <c r="AQ25" s="42">
        <v>45897</v>
      </c>
      <c r="AR25" s="42">
        <v>45930</v>
      </c>
      <c r="AS25" s="3" t="s">
        <v>107</v>
      </c>
      <c r="AT25" s="3" t="s">
        <v>108</v>
      </c>
      <c r="AU25" s="43">
        <v>1396</v>
      </c>
      <c r="AV25" s="43">
        <v>1401</v>
      </c>
      <c r="AW25" s="43">
        <v>1375.2</v>
      </c>
      <c r="AX25" s="43">
        <v>1395.4</v>
      </c>
      <c r="AY25" s="43">
        <v>1398.1</v>
      </c>
      <c r="AZ25" s="43">
        <v>1395.4</v>
      </c>
      <c r="BA25" s="44">
        <v>29560000</v>
      </c>
      <c r="BB25" s="43">
        <v>41032146000</v>
      </c>
      <c r="BC25" s="43">
        <v>41032146000</v>
      </c>
      <c r="BD25" s="44">
        <v>117161500</v>
      </c>
      <c r="BE25" s="44">
        <v>16864000</v>
      </c>
    </row>
    <row r="26" spans="1:57" x14ac:dyDescent="0.3">
      <c r="A26" s="42">
        <v>45873</v>
      </c>
      <c r="B26" s="3" t="s">
        <v>106</v>
      </c>
      <c r="C26" s="43">
        <v>1395.1</v>
      </c>
      <c r="D26" s="43">
        <v>1416.1</v>
      </c>
      <c r="E26" s="43">
        <v>1391.7</v>
      </c>
      <c r="F26" s="43">
        <v>1393.7</v>
      </c>
      <c r="G26" s="43">
        <v>1410.2</v>
      </c>
      <c r="H26" s="43">
        <v>1411.5</v>
      </c>
      <c r="I26" s="43">
        <v>1410.61</v>
      </c>
      <c r="J26" s="43">
        <v>3079.45</v>
      </c>
      <c r="K26" s="43">
        <v>1114.8499999999999</v>
      </c>
      <c r="L26" s="44">
        <v>6312820</v>
      </c>
      <c r="M26" s="43">
        <v>8904907900.6000004</v>
      </c>
      <c r="N26" s="44">
        <v>188246</v>
      </c>
      <c r="AB26" s="42">
        <v>45861</v>
      </c>
      <c r="AC26" s="42">
        <v>45897</v>
      </c>
      <c r="AD26" s="3" t="s">
        <v>107</v>
      </c>
      <c r="AE26" s="3" t="s">
        <v>108</v>
      </c>
      <c r="AF26" s="43">
        <v>1426.5</v>
      </c>
      <c r="AG26" s="43">
        <v>1430.5</v>
      </c>
      <c r="AH26" s="43">
        <v>1420.6</v>
      </c>
      <c r="AI26" s="43">
        <v>1429.6</v>
      </c>
      <c r="AJ26" s="43">
        <v>1430.5</v>
      </c>
      <c r="AK26" s="43">
        <v>1429.6</v>
      </c>
      <c r="AL26" s="44">
        <v>3121500</v>
      </c>
      <c r="AM26" s="43">
        <v>4451629450</v>
      </c>
      <c r="AN26" s="43">
        <v>4451629450</v>
      </c>
      <c r="AO26" s="44">
        <v>48242500</v>
      </c>
      <c r="AP26" s="44">
        <v>1016000</v>
      </c>
      <c r="AQ26" s="42">
        <v>45895</v>
      </c>
      <c r="AR26" s="42">
        <v>45930</v>
      </c>
      <c r="AS26" s="3" t="s">
        <v>107</v>
      </c>
      <c r="AT26" s="3" t="s">
        <v>108</v>
      </c>
      <c r="AU26" s="43">
        <v>1418.1</v>
      </c>
      <c r="AV26" s="43">
        <v>1419</v>
      </c>
      <c r="AW26" s="43">
        <v>1391.3</v>
      </c>
      <c r="AX26" s="43">
        <v>1394.2</v>
      </c>
      <c r="AY26" s="43">
        <v>1393</v>
      </c>
      <c r="AZ26" s="43">
        <v>1394.2</v>
      </c>
      <c r="BA26" s="44">
        <v>35113000</v>
      </c>
      <c r="BB26" s="43">
        <v>49299709900</v>
      </c>
      <c r="BC26" s="43">
        <v>49299709900</v>
      </c>
      <c r="BD26" s="44">
        <v>100297500</v>
      </c>
      <c r="BE26" s="44">
        <v>28444500</v>
      </c>
    </row>
    <row r="27" spans="1:57" x14ac:dyDescent="0.3">
      <c r="A27" s="42">
        <v>45874</v>
      </c>
      <c r="B27" s="3" t="s">
        <v>106</v>
      </c>
      <c r="C27" s="43">
        <v>1411</v>
      </c>
      <c r="D27" s="43">
        <v>1411</v>
      </c>
      <c r="E27" s="43">
        <v>1388.1</v>
      </c>
      <c r="F27" s="43">
        <v>1411.5</v>
      </c>
      <c r="G27" s="43">
        <v>1390</v>
      </c>
      <c r="H27" s="43">
        <v>1391.7</v>
      </c>
      <c r="I27" s="43">
        <v>1394.5</v>
      </c>
      <c r="J27" s="43">
        <v>3079.45</v>
      </c>
      <c r="K27" s="43">
        <v>1114.8499999999999</v>
      </c>
      <c r="L27" s="44">
        <v>9315972</v>
      </c>
      <c r="M27" s="43">
        <v>12991163046.799999</v>
      </c>
      <c r="N27" s="44">
        <v>238858</v>
      </c>
      <c r="AB27" s="42">
        <v>45860</v>
      </c>
      <c r="AC27" s="42">
        <v>45897</v>
      </c>
      <c r="AD27" s="3" t="s">
        <v>107</v>
      </c>
      <c r="AE27" s="3" t="s">
        <v>108</v>
      </c>
      <c r="AF27" s="43">
        <v>1431.2</v>
      </c>
      <c r="AG27" s="43">
        <v>1445</v>
      </c>
      <c r="AH27" s="43">
        <v>1417</v>
      </c>
      <c r="AI27" s="43">
        <v>1418.9</v>
      </c>
      <c r="AJ27" s="43">
        <v>1419.6</v>
      </c>
      <c r="AK27" s="43">
        <v>1418.9</v>
      </c>
      <c r="AL27" s="44">
        <v>5914000</v>
      </c>
      <c r="AM27" s="43">
        <v>8422071350</v>
      </c>
      <c r="AN27" s="43">
        <v>8422071350</v>
      </c>
      <c r="AO27" s="44">
        <v>47226500</v>
      </c>
      <c r="AP27" s="44">
        <v>3861500</v>
      </c>
      <c r="AQ27" s="42">
        <v>45894</v>
      </c>
      <c r="AR27" s="42">
        <v>45930</v>
      </c>
      <c r="AS27" s="3" t="s">
        <v>107</v>
      </c>
      <c r="AT27" s="3" t="s">
        <v>108</v>
      </c>
      <c r="AU27" s="43">
        <v>1420</v>
      </c>
      <c r="AV27" s="43">
        <v>1427.8</v>
      </c>
      <c r="AW27" s="43">
        <v>1413</v>
      </c>
      <c r="AX27" s="43">
        <v>1420.7</v>
      </c>
      <c r="AY27" s="43">
        <v>1421</v>
      </c>
      <c r="AZ27" s="43">
        <v>1420.7</v>
      </c>
      <c r="BA27" s="44">
        <v>28654500</v>
      </c>
      <c r="BB27" s="43">
        <v>40705415800</v>
      </c>
      <c r="BC27" s="43">
        <v>40705415800</v>
      </c>
      <c r="BD27" s="44">
        <v>71853000</v>
      </c>
      <c r="BE27" s="44">
        <v>24863500</v>
      </c>
    </row>
    <row r="28" spans="1:57" x14ac:dyDescent="0.3">
      <c r="A28" s="42">
        <v>45875</v>
      </c>
      <c r="B28" s="3" t="s">
        <v>106</v>
      </c>
      <c r="C28" s="43">
        <v>1391.9</v>
      </c>
      <c r="D28" s="43">
        <v>1395.9</v>
      </c>
      <c r="E28" s="43">
        <v>1383.3</v>
      </c>
      <c r="F28" s="43">
        <v>1391.7</v>
      </c>
      <c r="G28" s="43">
        <v>1393</v>
      </c>
      <c r="H28" s="43">
        <v>1392.8</v>
      </c>
      <c r="I28" s="43">
        <v>1390.57</v>
      </c>
      <c r="J28" s="43">
        <v>3079.45</v>
      </c>
      <c r="K28" s="43">
        <v>1114.8499999999999</v>
      </c>
      <c r="L28" s="44">
        <v>5834312</v>
      </c>
      <c r="M28" s="43">
        <v>8113006686</v>
      </c>
      <c r="N28" s="44">
        <v>156725</v>
      </c>
      <c r="AB28" s="42">
        <v>45859</v>
      </c>
      <c r="AC28" s="42">
        <v>45897</v>
      </c>
      <c r="AD28" s="3" t="s">
        <v>107</v>
      </c>
      <c r="AE28" s="3" t="s">
        <v>108</v>
      </c>
      <c r="AF28" s="43">
        <v>1499</v>
      </c>
      <c r="AG28" s="43">
        <v>1499</v>
      </c>
      <c r="AH28" s="43">
        <v>1430</v>
      </c>
      <c r="AI28" s="43">
        <v>1434.9</v>
      </c>
      <c r="AJ28" s="43">
        <v>1435</v>
      </c>
      <c r="AK28" s="43">
        <v>1434.9</v>
      </c>
      <c r="AL28" s="44">
        <v>9037000</v>
      </c>
      <c r="AM28" s="43">
        <v>13046012600</v>
      </c>
      <c r="AN28" s="43">
        <v>13046012600</v>
      </c>
      <c r="AO28" s="44">
        <v>43365000</v>
      </c>
      <c r="AP28" s="44">
        <v>6073000</v>
      </c>
      <c r="AQ28" s="42">
        <v>45891</v>
      </c>
      <c r="AR28" s="42">
        <v>45930</v>
      </c>
      <c r="AS28" s="3" t="s">
        <v>107</v>
      </c>
      <c r="AT28" s="3" t="s">
        <v>108</v>
      </c>
      <c r="AU28" s="43">
        <v>1428.1</v>
      </c>
      <c r="AV28" s="43">
        <v>1432.3</v>
      </c>
      <c r="AW28" s="43">
        <v>1418.6</v>
      </c>
      <c r="AX28" s="43">
        <v>1419.8</v>
      </c>
      <c r="AY28" s="43">
        <v>1420.1</v>
      </c>
      <c r="AZ28" s="43">
        <v>1419.8</v>
      </c>
      <c r="BA28" s="44">
        <v>24172000</v>
      </c>
      <c r="BB28" s="43">
        <v>34418481700</v>
      </c>
      <c r="BC28" s="43">
        <v>34418481700</v>
      </c>
      <c r="BD28" s="44">
        <v>46989500</v>
      </c>
      <c r="BE28" s="44">
        <v>21081500</v>
      </c>
    </row>
    <row r="29" spans="1:57" x14ac:dyDescent="0.3">
      <c r="A29" s="42">
        <v>45876</v>
      </c>
      <c r="B29" s="3" t="s">
        <v>106</v>
      </c>
      <c r="C29" s="43">
        <v>1387.7</v>
      </c>
      <c r="D29" s="43">
        <v>1393.7</v>
      </c>
      <c r="E29" s="43">
        <v>1366</v>
      </c>
      <c r="F29" s="43">
        <v>1392.8</v>
      </c>
      <c r="G29" s="43">
        <v>1391</v>
      </c>
      <c r="H29" s="43">
        <v>1389.4</v>
      </c>
      <c r="I29" s="43">
        <v>1381.52</v>
      </c>
      <c r="J29" s="43">
        <v>3079.45</v>
      </c>
      <c r="K29" s="43">
        <v>1114.8499999999999</v>
      </c>
      <c r="L29" s="44">
        <v>9976705</v>
      </c>
      <c r="M29" s="43">
        <v>13783047743.5</v>
      </c>
      <c r="N29" s="44">
        <v>293767</v>
      </c>
      <c r="AB29" s="42">
        <v>45856</v>
      </c>
      <c r="AC29" s="42">
        <v>45897</v>
      </c>
      <c r="AD29" s="3" t="s">
        <v>107</v>
      </c>
      <c r="AE29" s="3" t="s">
        <v>108</v>
      </c>
      <c r="AF29" s="43">
        <v>1488.7</v>
      </c>
      <c r="AG29" s="43">
        <v>1489.5</v>
      </c>
      <c r="AH29" s="43">
        <v>1476.4</v>
      </c>
      <c r="AI29" s="43">
        <v>1484.4</v>
      </c>
      <c r="AJ29" s="43">
        <v>1482.5</v>
      </c>
      <c r="AK29" s="43">
        <v>1484.4</v>
      </c>
      <c r="AL29" s="44">
        <v>3295000</v>
      </c>
      <c r="AM29" s="43">
        <v>4882839650</v>
      </c>
      <c r="AN29" s="43">
        <v>4882839650</v>
      </c>
      <c r="AO29" s="44">
        <v>37292000</v>
      </c>
      <c r="AP29" s="44">
        <v>2269000</v>
      </c>
      <c r="AQ29" s="42">
        <v>45890</v>
      </c>
      <c r="AR29" s="42">
        <v>45930</v>
      </c>
      <c r="AS29" s="3" t="s">
        <v>107</v>
      </c>
      <c r="AT29" s="3" t="s">
        <v>108</v>
      </c>
      <c r="AU29" s="43">
        <v>1429</v>
      </c>
      <c r="AV29" s="43">
        <v>1439.8</v>
      </c>
      <c r="AW29" s="43">
        <v>1429</v>
      </c>
      <c r="AX29" s="43">
        <v>1433.6</v>
      </c>
      <c r="AY29" s="43">
        <v>1432.3</v>
      </c>
      <c r="AZ29" s="43">
        <v>1433.6</v>
      </c>
      <c r="BA29" s="44">
        <v>6042000</v>
      </c>
      <c r="BB29" s="43">
        <v>8675161700</v>
      </c>
      <c r="BC29" s="43">
        <v>8675161700</v>
      </c>
      <c r="BD29" s="44">
        <v>25908000</v>
      </c>
      <c r="BE29" s="44">
        <v>4276500</v>
      </c>
    </row>
    <row r="30" spans="1:57" x14ac:dyDescent="0.3">
      <c r="A30" s="42">
        <v>45877</v>
      </c>
      <c r="B30" s="3" t="s">
        <v>106</v>
      </c>
      <c r="C30" s="43">
        <v>1385</v>
      </c>
      <c r="D30" s="43">
        <v>1397.2</v>
      </c>
      <c r="E30" s="43">
        <v>1365</v>
      </c>
      <c r="F30" s="43">
        <v>1389.4</v>
      </c>
      <c r="G30" s="43">
        <v>1366.2</v>
      </c>
      <c r="H30" s="43">
        <v>1367.8</v>
      </c>
      <c r="I30" s="43">
        <v>1374.93</v>
      </c>
      <c r="J30" s="43">
        <v>3079.45</v>
      </c>
      <c r="K30" s="43">
        <v>1114.8499999999999</v>
      </c>
      <c r="L30" s="44">
        <v>8793606</v>
      </c>
      <c r="M30" s="43">
        <v>12090591567.6</v>
      </c>
      <c r="N30" s="44">
        <v>208137</v>
      </c>
      <c r="AB30" s="42">
        <v>45855</v>
      </c>
      <c r="AC30" s="42">
        <v>45897</v>
      </c>
      <c r="AD30" s="3" t="s">
        <v>107</v>
      </c>
      <c r="AE30" s="3" t="s">
        <v>108</v>
      </c>
      <c r="AF30" s="43">
        <v>1494.1</v>
      </c>
      <c r="AG30" s="43">
        <v>1494.1</v>
      </c>
      <c r="AH30" s="43">
        <v>1481.9</v>
      </c>
      <c r="AI30" s="43">
        <v>1484.5</v>
      </c>
      <c r="AJ30" s="43">
        <v>1486</v>
      </c>
      <c r="AK30" s="43">
        <v>1484.5</v>
      </c>
      <c r="AL30" s="44">
        <v>2830500</v>
      </c>
      <c r="AM30" s="43">
        <v>4209770100</v>
      </c>
      <c r="AN30" s="43">
        <v>4209770100</v>
      </c>
      <c r="AO30" s="44">
        <v>35023000</v>
      </c>
      <c r="AP30" s="44">
        <v>2004500</v>
      </c>
      <c r="AQ30" s="42">
        <v>45889</v>
      </c>
      <c r="AR30" s="42">
        <v>45930</v>
      </c>
      <c r="AS30" s="3" t="s">
        <v>107</v>
      </c>
      <c r="AT30" s="3" t="s">
        <v>108</v>
      </c>
      <c r="AU30" s="43">
        <v>1427.9</v>
      </c>
      <c r="AV30" s="43">
        <v>1433.4</v>
      </c>
      <c r="AW30" s="43">
        <v>1420.6</v>
      </c>
      <c r="AX30" s="43">
        <v>1423.9</v>
      </c>
      <c r="AY30" s="43">
        <v>1423</v>
      </c>
      <c r="AZ30" s="43">
        <v>1423.9</v>
      </c>
      <c r="BA30" s="44">
        <v>3320500</v>
      </c>
      <c r="BB30" s="43">
        <v>4737794200</v>
      </c>
      <c r="BC30" s="43">
        <v>4737794200</v>
      </c>
      <c r="BD30" s="44">
        <v>21631500</v>
      </c>
      <c r="BE30" s="44">
        <v>2260000</v>
      </c>
    </row>
    <row r="31" spans="1:57" x14ac:dyDescent="0.3">
      <c r="A31" s="42">
        <v>45880</v>
      </c>
      <c r="B31" s="3" t="s">
        <v>106</v>
      </c>
      <c r="C31" s="43">
        <v>1370</v>
      </c>
      <c r="D31" s="43">
        <v>1388</v>
      </c>
      <c r="E31" s="43">
        <v>1361.2</v>
      </c>
      <c r="F31" s="43">
        <v>1367.8</v>
      </c>
      <c r="G31" s="43">
        <v>1384.6</v>
      </c>
      <c r="H31" s="43">
        <v>1386.2</v>
      </c>
      <c r="I31" s="43">
        <v>1375.78</v>
      </c>
      <c r="J31" s="43">
        <v>3079.45</v>
      </c>
      <c r="K31" s="43">
        <v>1114.8499999999999</v>
      </c>
      <c r="L31" s="44">
        <v>9997486</v>
      </c>
      <c r="M31" s="43">
        <v>13754351256.5</v>
      </c>
      <c r="N31" s="44">
        <v>226304</v>
      </c>
      <c r="AB31" s="42">
        <v>45854</v>
      </c>
      <c r="AC31" s="42">
        <v>45897</v>
      </c>
      <c r="AD31" s="3" t="s">
        <v>107</v>
      </c>
      <c r="AE31" s="3" t="s">
        <v>108</v>
      </c>
      <c r="AF31" s="43">
        <v>1491</v>
      </c>
      <c r="AG31" s="43">
        <v>1498</v>
      </c>
      <c r="AH31" s="43">
        <v>1480.7</v>
      </c>
      <c r="AI31" s="43">
        <v>1491.8</v>
      </c>
      <c r="AJ31" s="43">
        <v>1491.5</v>
      </c>
      <c r="AK31" s="43">
        <v>1491.8</v>
      </c>
      <c r="AL31" s="44">
        <v>1292500</v>
      </c>
      <c r="AM31" s="43">
        <v>1924067400</v>
      </c>
      <c r="AN31" s="43">
        <v>1924067400</v>
      </c>
      <c r="AO31" s="44">
        <v>33018500</v>
      </c>
      <c r="AP31" s="44">
        <v>542500</v>
      </c>
      <c r="AQ31" s="42">
        <v>45888</v>
      </c>
      <c r="AR31" s="42">
        <v>45930</v>
      </c>
      <c r="AS31" s="3" t="s">
        <v>107</v>
      </c>
      <c r="AT31" s="3" t="s">
        <v>108</v>
      </c>
      <c r="AU31" s="43">
        <v>1400</v>
      </c>
      <c r="AV31" s="43">
        <v>1430.5</v>
      </c>
      <c r="AW31" s="43">
        <v>1400</v>
      </c>
      <c r="AX31" s="43">
        <v>1429.5</v>
      </c>
      <c r="AY31" s="43">
        <v>1430.4</v>
      </c>
      <c r="AZ31" s="43">
        <v>1429.5</v>
      </c>
      <c r="BA31" s="44">
        <v>3914500</v>
      </c>
      <c r="BB31" s="43">
        <v>5564990150</v>
      </c>
      <c r="BC31" s="43">
        <v>5564990150</v>
      </c>
      <c r="BD31" s="44">
        <v>19371500</v>
      </c>
      <c r="BE31" s="44">
        <v>1455500</v>
      </c>
    </row>
    <row r="32" spans="1:57" x14ac:dyDescent="0.3">
      <c r="A32" s="42">
        <v>45881</v>
      </c>
      <c r="B32" s="3" t="s">
        <v>106</v>
      </c>
      <c r="C32" s="43">
        <v>1381.9</v>
      </c>
      <c r="D32" s="43">
        <v>1401.9</v>
      </c>
      <c r="E32" s="43">
        <v>1375.2</v>
      </c>
      <c r="F32" s="43">
        <v>1386.2</v>
      </c>
      <c r="G32" s="43">
        <v>1381</v>
      </c>
      <c r="H32" s="43">
        <v>1380.4</v>
      </c>
      <c r="I32" s="43">
        <v>1386.76</v>
      </c>
      <c r="J32" s="43">
        <v>3079.45</v>
      </c>
      <c r="K32" s="43">
        <v>1114.8499999999999</v>
      </c>
      <c r="L32" s="44">
        <v>12244664</v>
      </c>
      <c r="M32" s="43">
        <v>16980368560.1</v>
      </c>
      <c r="N32" s="44">
        <v>179433</v>
      </c>
      <c r="AB32" s="42">
        <v>45853</v>
      </c>
      <c r="AC32" s="42">
        <v>45897</v>
      </c>
      <c r="AD32" s="3" t="s">
        <v>107</v>
      </c>
      <c r="AE32" s="3" t="s">
        <v>108</v>
      </c>
      <c r="AF32" s="43">
        <v>1494</v>
      </c>
      <c r="AG32" s="43">
        <v>1503.8</v>
      </c>
      <c r="AH32" s="43">
        <v>1490.6</v>
      </c>
      <c r="AI32" s="43">
        <v>1492.2</v>
      </c>
      <c r="AJ32" s="43">
        <v>1496.2</v>
      </c>
      <c r="AK32" s="43">
        <v>1492.2</v>
      </c>
      <c r="AL32" s="44">
        <v>1192500</v>
      </c>
      <c r="AM32" s="43">
        <v>1783993750</v>
      </c>
      <c r="AN32" s="43">
        <v>1783993750</v>
      </c>
      <c r="AO32" s="44">
        <v>32476000</v>
      </c>
      <c r="AP32" s="44">
        <v>718500</v>
      </c>
      <c r="AQ32" s="42">
        <v>45887</v>
      </c>
      <c r="AR32" s="42">
        <v>45930</v>
      </c>
      <c r="AS32" s="3" t="s">
        <v>107</v>
      </c>
      <c r="AT32" s="3" t="s">
        <v>108</v>
      </c>
      <c r="AU32" s="43">
        <v>1400</v>
      </c>
      <c r="AV32" s="43">
        <v>1422.4</v>
      </c>
      <c r="AW32" s="43">
        <v>1388.9</v>
      </c>
      <c r="AX32" s="43">
        <v>1393.6</v>
      </c>
      <c r="AY32" s="43">
        <v>1396</v>
      </c>
      <c r="AZ32" s="43">
        <v>1393.6</v>
      </c>
      <c r="BA32" s="44">
        <v>2828000</v>
      </c>
      <c r="BB32" s="43">
        <v>3947155500</v>
      </c>
      <c r="BC32" s="43">
        <v>3947155500</v>
      </c>
      <c r="BD32" s="44">
        <v>17916000</v>
      </c>
      <c r="BE32" s="44">
        <v>1774000</v>
      </c>
    </row>
    <row r="33" spans="1:57" x14ac:dyDescent="0.3">
      <c r="A33" s="42">
        <v>45882</v>
      </c>
      <c r="B33" s="3" t="s">
        <v>106</v>
      </c>
      <c r="C33" s="43">
        <v>1388</v>
      </c>
      <c r="D33" s="43">
        <v>1391.8</v>
      </c>
      <c r="E33" s="43">
        <v>1377.5</v>
      </c>
      <c r="F33" s="43">
        <v>1380.4</v>
      </c>
      <c r="G33" s="43">
        <v>1384</v>
      </c>
      <c r="H33" s="43">
        <v>1382.6</v>
      </c>
      <c r="I33" s="43">
        <v>1384.19</v>
      </c>
      <c r="J33" s="43">
        <v>3079.45</v>
      </c>
      <c r="K33" s="43">
        <v>1114.8499999999999</v>
      </c>
      <c r="L33" s="44">
        <v>7457021</v>
      </c>
      <c r="M33" s="43">
        <v>10321969058.700001</v>
      </c>
      <c r="N33" s="44">
        <v>208576</v>
      </c>
      <c r="AB33" s="42">
        <v>45852</v>
      </c>
      <c r="AC33" s="42">
        <v>45897</v>
      </c>
      <c r="AD33" s="3" t="s">
        <v>107</v>
      </c>
      <c r="AE33" s="3" t="s">
        <v>108</v>
      </c>
      <c r="AF33" s="43">
        <v>1499</v>
      </c>
      <c r="AG33" s="43">
        <v>1507.6</v>
      </c>
      <c r="AH33" s="43">
        <v>1487</v>
      </c>
      <c r="AI33" s="43">
        <v>1492.1</v>
      </c>
      <c r="AJ33" s="43">
        <v>1493.5</v>
      </c>
      <c r="AK33" s="43">
        <v>1492.1</v>
      </c>
      <c r="AL33" s="44">
        <v>2275500</v>
      </c>
      <c r="AM33" s="43">
        <v>3406344700</v>
      </c>
      <c r="AN33" s="43">
        <v>3406344700</v>
      </c>
      <c r="AO33" s="44">
        <v>31757500</v>
      </c>
      <c r="AP33" s="44">
        <v>1436000</v>
      </c>
      <c r="AQ33" s="42">
        <v>45883</v>
      </c>
      <c r="AR33" s="42">
        <v>45930</v>
      </c>
      <c r="AS33" s="3" t="s">
        <v>107</v>
      </c>
      <c r="AT33" s="3" t="s">
        <v>108</v>
      </c>
      <c r="AU33" s="43">
        <v>1390</v>
      </c>
      <c r="AV33" s="43">
        <v>1391.9</v>
      </c>
      <c r="AW33" s="43">
        <v>1382.4</v>
      </c>
      <c r="AX33" s="43">
        <v>1384.2</v>
      </c>
      <c r="AY33" s="43">
        <v>1384.2</v>
      </c>
      <c r="AZ33" s="43">
        <v>1384.2</v>
      </c>
      <c r="BA33" s="44">
        <v>889000</v>
      </c>
      <c r="BB33" s="43">
        <v>1232960750</v>
      </c>
      <c r="BC33" s="43">
        <v>1232960750</v>
      </c>
      <c r="BD33" s="44">
        <v>16142000</v>
      </c>
      <c r="BE33" s="44">
        <v>508000</v>
      </c>
    </row>
    <row r="34" spans="1:57" x14ac:dyDescent="0.3">
      <c r="A34" s="42">
        <v>45883</v>
      </c>
      <c r="B34" s="3" t="s">
        <v>106</v>
      </c>
      <c r="C34" s="43">
        <v>1377.3</v>
      </c>
      <c r="D34" s="43">
        <v>1380.7</v>
      </c>
      <c r="E34" s="43">
        <v>1370.1</v>
      </c>
      <c r="F34" s="43">
        <v>1382.6</v>
      </c>
      <c r="G34" s="43">
        <v>1372.9</v>
      </c>
      <c r="H34" s="43">
        <v>1373.8</v>
      </c>
      <c r="I34" s="43">
        <v>1375.17</v>
      </c>
      <c r="J34" s="43">
        <v>3079.45</v>
      </c>
      <c r="K34" s="43">
        <v>1114.8499999999999</v>
      </c>
      <c r="L34" s="44">
        <v>7126128</v>
      </c>
      <c r="M34" s="43">
        <v>9799629519.8999996</v>
      </c>
      <c r="N34" s="44">
        <v>175588</v>
      </c>
      <c r="AB34" s="42">
        <v>45849</v>
      </c>
      <c r="AC34" s="42">
        <v>45897</v>
      </c>
      <c r="AD34" s="3" t="s">
        <v>107</v>
      </c>
      <c r="AE34" s="3" t="s">
        <v>108</v>
      </c>
      <c r="AF34" s="43">
        <v>1519.5</v>
      </c>
      <c r="AG34" s="43">
        <v>1520.3</v>
      </c>
      <c r="AH34" s="43">
        <v>1499</v>
      </c>
      <c r="AI34" s="43">
        <v>1503.3</v>
      </c>
      <c r="AJ34" s="43">
        <v>1503</v>
      </c>
      <c r="AK34" s="43">
        <v>1503.3</v>
      </c>
      <c r="AL34" s="44">
        <v>1405000</v>
      </c>
      <c r="AM34" s="43">
        <v>2114088500</v>
      </c>
      <c r="AN34" s="43">
        <v>2114088500</v>
      </c>
      <c r="AO34" s="44">
        <v>30321500</v>
      </c>
      <c r="AP34" s="44">
        <v>970500</v>
      </c>
      <c r="AQ34" s="42">
        <v>45882</v>
      </c>
      <c r="AR34" s="42">
        <v>45930</v>
      </c>
      <c r="AS34" s="3" t="s">
        <v>107</v>
      </c>
      <c r="AT34" s="3" t="s">
        <v>108</v>
      </c>
      <c r="AU34" s="43">
        <v>1391.3</v>
      </c>
      <c r="AV34" s="43">
        <v>1398.4</v>
      </c>
      <c r="AW34" s="43">
        <v>1385.4</v>
      </c>
      <c r="AX34" s="43">
        <v>1390.7</v>
      </c>
      <c r="AY34" s="43">
        <v>1392</v>
      </c>
      <c r="AZ34" s="43">
        <v>1390.7</v>
      </c>
      <c r="BA34" s="44">
        <v>1907500</v>
      </c>
      <c r="BB34" s="43">
        <v>2654302350</v>
      </c>
      <c r="BC34" s="43">
        <v>2654302350</v>
      </c>
      <c r="BD34" s="44">
        <v>15634000</v>
      </c>
      <c r="BE34" s="44">
        <v>1337500</v>
      </c>
    </row>
    <row r="35" spans="1:57" x14ac:dyDescent="0.3">
      <c r="A35" s="42">
        <v>45887</v>
      </c>
      <c r="B35" s="3" t="s">
        <v>106</v>
      </c>
      <c r="C35" s="43">
        <v>1390</v>
      </c>
      <c r="D35" s="43">
        <v>1394.9</v>
      </c>
      <c r="E35" s="43">
        <v>1377</v>
      </c>
      <c r="F35" s="43">
        <v>1373.8</v>
      </c>
      <c r="G35" s="43">
        <v>1382.9</v>
      </c>
      <c r="H35" s="43">
        <v>1381.7</v>
      </c>
      <c r="I35" s="43">
        <v>1384.21</v>
      </c>
      <c r="J35" s="43">
        <v>3079.45</v>
      </c>
      <c r="K35" s="43">
        <v>1114.8499999999999</v>
      </c>
      <c r="L35" s="44">
        <v>11785109</v>
      </c>
      <c r="M35" s="43">
        <v>16313018769.799999</v>
      </c>
      <c r="N35" s="44">
        <v>319844</v>
      </c>
      <c r="AB35" s="42">
        <v>45848</v>
      </c>
      <c r="AC35" s="42">
        <v>45897</v>
      </c>
      <c r="AD35" s="3" t="s">
        <v>107</v>
      </c>
      <c r="AE35" s="3" t="s">
        <v>108</v>
      </c>
      <c r="AF35" s="43">
        <v>1520.1</v>
      </c>
      <c r="AG35" s="43">
        <v>1530.7</v>
      </c>
      <c r="AH35" s="43">
        <v>1515.3</v>
      </c>
      <c r="AI35" s="43">
        <v>1522.5</v>
      </c>
      <c r="AJ35" s="43">
        <v>1522.3</v>
      </c>
      <c r="AK35" s="43">
        <v>1522.5</v>
      </c>
      <c r="AL35" s="44">
        <v>1007500</v>
      </c>
      <c r="AM35" s="43">
        <v>1533242800</v>
      </c>
      <c r="AN35" s="43">
        <v>1533242800</v>
      </c>
      <c r="AO35" s="44">
        <v>29351000</v>
      </c>
      <c r="AP35" s="44">
        <v>531000</v>
      </c>
      <c r="AQ35" s="42">
        <v>45881</v>
      </c>
      <c r="AR35" s="42">
        <v>45930</v>
      </c>
      <c r="AS35" s="3" t="s">
        <v>107</v>
      </c>
      <c r="AT35" s="3" t="s">
        <v>108</v>
      </c>
      <c r="AU35" s="43">
        <v>1385.5</v>
      </c>
      <c r="AV35" s="43">
        <v>1406.9</v>
      </c>
      <c r="AW35" s="43">
        <v>1383</v>
      </c>
      <c r="AX35" s="43">
        <v>1387.8</v>
      </c>
      <c r="AY35" s="43">
        <v>1387.5</v>
      </c>
      <c r="AZ35" s="43">
        <v>1387.8</v>
      </c>
      <c r="BA35" s="44">
        <v>1646000</v>
      </c>
      <c r="BB35" s="43">
        <v>2294832800</v>
      </c>
      <c r="BC35" s="43">
        <v>2294832800</v>
      </c>
      <c r="BD35" s="44">
        <v>14296500</v>
      </c>
      <c r="BE35" s="44">
        <v>677000</v>
      </c>
    </row>
    <row r="36" spans="1:57" x14ac:dyDescent="0.3">
      <c r="A36" s="42">
        <v>45888</v>
      </c>
      <c r="B36" s="3" t="s">
        <v>106</v>
      </c>
      <c r="C36" s="43">
        <v>1390</v>
      </c>
      <c r="D36" s="43">
        <v>1421</v>
      </c>
      <c r="E36" s="43">
        <v>1389.1</v>
      </c>
      <c r="F36" s="43">
        <v>1381.7</v>
      </c>
      <c r="G36" s="43">
        <v>1421</v>
      </c>
      <c r="H36" s="43">
        <v>1420.1</v>
      </c>
      <c r="I36" s="43">
        <v>1413.6</v>
      </c>
      <c r="J36" s="43">
        <v>3079.45</v>
      </c>
      <c r="K36" s="43">
        <v>1114.8499999999999</v>
      </c>
      <c r="L36" s="44">
        <v>14384719</v>
      </c>
      <c r="M36" s="43">
        <v>20334296972.400002</v>
      </c>
      <c r="N36" s="44">
        <v>288664</v>
      </c>
      <c r="AB36" s="42">
        <v>45847</v>
      </c>
      <c r="AC36" s="42">
        <v>45897</v>
      </c>
      <c r="AD36" s="3" t="s">
        <v>107</v>
      </c>
      <c r="AE36" s="3" t="s">
        <v>108</v>
      </c>
      <c r="AF36" s="43">
        <v>1551</v>
      </c>
      <c r="AG36" s="43">
        <v>1558.5</v>
      </c>
      <c r="AH36" s="43">
        <v>1517.5</v>
      </c>
      <c r="AI36" s="43">
        <v>1528.1</v>
      </c>
      <c r="AJ36" s="43">
        <v>1528.8</v>
      </c>
      <c r="AK36" s="43">
        <v>1528.1</v>
      </c>
      <c r="AL36" s="44">
        <v>1589500</v>
      </c>
      <c r="AM36" s="43">
        <v>2443367000</v>
      </c>
      <c r="AN36" s="43">
        <v>2443367000</v>
      </c>
      <c r="AO36" s="44">
        <v>28820000</v>
      </c>
      <c r="AP36" s="44">
        <v>600500</v>
      </c>
      <c r="AQ36" s="42">
        <v>45880</v>
      </c>
      <c r="AR36" s="42">
        <v>45930</v>
      </c>
      <c r="AS36" s="3" t="s">
        <v>107</v>
      </c>
      <c r="AT36" s="3" t="s">
        <v>108</v>
      </c>
      <c r="AU36" s="43">
        <v>1374</v>
      </c>
      <c r="AV36" s="43">
        <v>1392.6</v>
      </c>
      <c r="AW36" s="43">
        <v>1367.5</v>
      </c>
      <c r="AX36" s="43">
        <v>1390.4</v>
      </c>
      <c r="AY36" s="43">
        <v>1389.4</v>
      </c>
      <c r="AZ36" s="43">
        <v>1390.4</v>
      </c>
      <c r="BA36" s="44">
        <v>1116000</v>
      </c>
      <c r="BB36" s="43">
        <v>1540576350</v>
      </c>
      <c r="BC36" s="43">
        <v>1540576350</v>
      </c>
      <c r="BD36" s="44">
        <v>13619500</v>
      </c>
      <c r="BE36" s="44">
        <v>242000</v>
      </c>
    </row>
    <row r="37" spans="1:57" x14ac:dyDescent="0.3">
      <c r="A37" s="42">
        <v>45889</v>
      </c>
      <c r="B37" s="3" t="s">
        <v>106</v>
      </c>
      <c r="C37" s="43">
        <v>1413</v>
      </c>
      <c r="D37" s="43">
        <v>1424.9</v>
      </c>
      <c r="E37" s="43">
        <v>1410</v>
      </c>
      <c r="F37" s="43">
        <v>1420.1</v>
      </c>
      <c r="G37" s="43">
        <v>1412</v>
      </c>
      <c r="H37" s="43">
        <v>1413</v>
      </c>
      <c r="I37" s="43">
        <v>1418.58</v>
      </c>
      <c r="J37" s="43">
        <v>3079.45</v>
      </c>
      <c r="K37" s="43">
        <v>1114.8499999999999</v>
      </c>
      <c r="L37" s="44">
        <v>8725641</v>
      </c>
      <c r="M37" s="43">
        <v>12377983949.700001</v>
      </c>
      <c r="N37" s="44">
        <v>196554</v>
      </c>
      <c r="AB37" s="42">
        <v>45846</v>
      </c>
      <c r="AC37" s="42">
        <v>45897</v>
      </c>
      <c r="AD37" s="3" t="s">
        <v>107</v>
      </c>
      <c r="AE37" s="3" t="s">
        <v>108</v>
      </c>
      <c r="AF37" s="43">
        <v>1544.1</v>
      </c>
      <c r="AG37" s="43">
        <v>1552</v>
      </c>
      <c r="AH37" s="43">
        <v>1540.5</v>
      </c>
      <c r="AI37" s="43">
        <v>1547.6</v>
      </c>
      <c r="AJ37" s="43">
        <v>1548.6</v>
      </c>
      <c r="AK37" s="43">
        <v>1547.6</v>
      </c>
      <c r="AL37" s="44">
        <v>978500</v>
      </c>
      <c r="AM37" s="43">
        <v>1512219100</v>
      </c>
      <c r="AN37" s="43">
        <v>1512219100</v>
      </c>
      <c r="AO37" s="44">
        <v>28219500</v>
      </c>
      <c r="AP37" s="44">
        <v>610000</v>
      </c>
      <c r="AQ37" s="42">
        <v>45877</v>
      </c>
      <c r="AR37" s="42">
        <v>45930</v>
      </c>
      <c r="AS37" s="3" t="s">
        <v>107</v>
      </c>
      <c r="AT37" s="3" t="s">
        <v>108</v>
      </c>
      <c r="AU37" s="43">
        <v>1395</v>
      </c>
      <c r="AV37" s="43">
        <v>1405.9</v>
      </c>
      <c r="AW37" s="43">
        <v>1373.7</v>
      </c>
      <c r="AX37" s="43">
        <v>1376.1</v>
      </c>
      <c r="AY37" s="43">
        <v>1375</v>
      </c>
      <c r="AZ37" s="43">
        <v>1376.1</v>
      </c>
      <c r="BA37" s="44">
        <v>1064500</v>
      </c>
      <c r="BB37" s="43">
        <v>1473487750</v>
      </c>
      <c r="BC37" s="43">
        <v>1473487750</v>
      </c>
      <c r="BD37" s="44">
        <v>13377500</v>
      </c>
      <c r="BE37" s="44">
        <v>419500</v>
      </c>
    </row>
    <row r="38" spans="1:57" x14ac:dyDescent="0.3">
      <c r="A38" s="42">
        <v>45890</v>
      </c>
      <c r="B38" s="3" t="s">
        <v>106</v>
      </c>
      <c r="C38" s="43">
        <v>1425</v>
      </c>
      <c r="D38" s="43">
        <v>1431.9</v>
      </c>
      <c r="E38" s="43">
        <v>1420.3</v>
      </c>
      <c r="F38" s="43">
        <v>1413</v>
      </c>
      <c r="G38" s="43">
        <v>1424.3</v>
      </c>
      <c r="H38" s="43">
        <v>1424.8</v>
      </c>
      <c r="I38" s="43">
        <v>1427.55</v>
      </c>
      <c r="J38" s="43">
        <v>3079.45</v>
      </c>
      <c r="K38" s="43">
        <v>1114.8499999999999</v>
      </c>
      <c r="L38" s="44">
        <v>11021323</v>
      </c>
      <c r="M38" s="43">
        <v>15733474504.4</v>
      </c>
      <c r="N38" s="44">
        <v>231863</v>
      </c>
      <c r="AB38" s="42">
        <v>45845</v>
      </c>
      <c r="AC38" s="42">
        <v>45897</v>
      </c>
      <c r="AD38" s="3" t="s">
        <v>107</v>
      </c>
      <c r="AE38" s="3" t="s">
        <v>108</v>
      </c>
      <c r="AF38" s="43">
        <v>1534.1</v>
      </c>
      <c r="AG38" s="43">
        <v>1550.8</v>
      </c>
      <c r="AH38" s="43">
        <v>1534</v>
      </c>
      <c r="AI38" s="43">
        <v>1547.5</v>
      </c>
      <c r="AJ38" s="43">
        <v>1547.4</v>
      </c>
      <c r="AK38" s="43">
        <v>1547.5</v>
      </c>
      <c r="AL38" s="44">
        <v>522000</v>
      </c>
      <c r="AM38" s="43">
        <v>806369100</v>
      </c>
      <c r="AN38" s="43">
        <v>806369100</v>
      </c>
      <c r="AO38" s="44">
        <v>27609500</v>
      </c>
      <c r="AP38" s="44">
        <v>137000</v>
      </c>
      <c r="AQ38" s="42">
        <v>45876</v>
      </c>
      <c r="AR38" s="42">
        <v>45930</v>
      </c>
      <c r="AS38" s="3" t="s">
        <v>107</v>
      </c>
      <c r="AT38" s="3" t="s">
        <v>108</v>
      </c>
      <c r="AU38" s="43">
        <v>1397.3</v>
      </c>
      <c r="AV38" s="43">
        <v>1401.8</v>
      </c>
      <c r="AW38" s="43">
        <v>1373</v>
      </c>
      <c r="AX38" s="43">
        <v>1398.3</v>
      </c>
      <c r="AY38" s="43">
        <v>1400.9</v>
      </c>
      <c r="AZ38" s="43">
        <v>1398.3</v>
      </c>
      <c r="BA38" s="44">
        <v>1373000</v>
      </c>
      <c r="BB38" s="43">
        <v>1905745550</v>
      </c>
      <c r="BC38" s="43">
        <v>1905745550</v>
      </c>
      <c r="BD38" s="44">
        <v>12958000</v>
      </c>
      <c r="BE38" s="44">
        <v>180500</v>
      </c>
    </row>
    <row r="39" spans="1:57" x14ac:dyDescent="0.3">
      <c r="A39" s="42">
        <v>45891</v>
      </c>
      <c r="B39" s="3" t="s">
        <v>106</v>
      </c>
      <c r="C39" s="43">
        <v>1420</v>
      </c>
      <c r="D39" s="43">
        <v>1423.4</v>
      </c>
      <c r="E39" s="43">
        <v>1407.9</v>
      </c>
      <c r="F39" s="43">
        <v>1424.8</v>
      </c>
      <c r="G39" s="43">
        <v>1409.9</v>
      </c>
      <c r="H39" s="43">
        <v>1409.2</v>
      </c>
      <c r="I39" s="43">
        <v>1414</v>
      </c>
      <c r="J39" s="43">
        <v>3079.45</v>
      </c>
      <c r="K39" s="43">
        <v>1114.8499999999999</v>
      </c>
      <c r="L39" s="44">
        <v>5818868</v>
      </c>
      <c r="M39" s="43">
        <v>8227876997.3000002</v>
      </c>
      <c r="N39" s="44">
        <v>137165</v>
      </c>
      <c r="AB39" s="42">
        <v>45842</v>
      </c>
      <c r="AC39" s="42">
        <v>45897</v>
      </c>
      <c r="AD39" s="3" t="s">
        <v>107</v>
      </c>
      <c r="AE39" s="3" t="s">
        <v>108</v>
      </c>
      <c r="AF39" s="43">
        <v>1529</v>
      </c>
      <c r="AG39" s="43">
        <v>1536.4</v>
      </c>
      <c r="AH39" s="43">
        <v>1525</v>
      </c>
      <c r="AI39" s="43">
        <v>1534.1</v>
      </c>
      <c r="AJ39" s="43">
        <v>1534.5</v>
      </c>
      <c r="AK39" s="43">
        <v>1534.1</v>
      </c>
      <c r="AL39" s="44">
        <v>286500</v>
      </c>
      <c r="AM39" s="43">
        <v>438464800</v>
      </c>
      <c r="AN39" s="43">
        <v>438464800</v>
      </c>
      <c r="AO39" s="44">
        <v>27472500</v>
      </c>
      <c r="AP39" s="44">
        <v>-7000</v>
      </c>
      <c r="AQ39" s="42">
        <v>45875</v>
      </c>
      <c r="AR39" s="42">
        <v>45930</v>
      </c>
      <c r="AS39" s="3" t="s">
        <v>107</v>
      </c>
      <c r="AT39" s="3" t="s">
        <v>108</v>
      </c>
      <c r="AU39" s="43">
        <v>1398</v>
      </c>
      <c r="AV39" s="43">
        <v>1403.4</v>
      </c>
      <c r="AW39" s="43">
        <v>1392.8</v>
      </c>
      <c r="AX39" s="43">
        <v>1401.4</v>
      </c>
      <c r="AY39" s="43">
        <v>1400</v>
      </c>
      <c r="AZ39" s="43">
        <v>1401.4</v>
      </c>
      <c r="BA39" s="44">
        <v>423500</v>
      </c>
      <c r="BB39" s="43">
        <v>592189900</v>
      </c>
      <c r="BC39" s="43">
        <v>592189900</v>
      </c>
      <c r="BD39" s="44">
        <v>12777500</v>
      </c>
      <c r="BE39" s="44">
        <v>12000</v>
      </c>
    </row>
    <row r="40" spans="1:57" x14ac:dyDescent="0.3">
      <c r="A40" s="42">
        <v>45894</v>
      </c>
      <c r="B40" s="3" t="s">
        <v>106</v>
      </c>
      <c r="C40" s="43">
        <v>1414.7</v>
      </c>
      <c r="D40" s="43">
        <v>1419.5</v>
      </c>
      <c r="E40" s="43">
        <v>1405.7</v>
      </c>
      <c r="F40" s="43">
        <v>1409.2</v>
      </c>
      <c r="G40" s="43">
        <v>1413.7</v>
      </c>
      <c r="H40" s="43">
        <v>1412.6</v>
      </c>
      <c r="I40" s="43">
        <v>1412.48</v>
      </c>
      <c r="J40" s="43">
        <v>3079.45</v>
      </c>
      <c r="K40" s="43">
        <v>1114.8499999999999</v>
      </c>
      <c r="L40" s="44">
        <v>5979407</v>
      </c>
      <c r="M40" s="43">
        <v>8445789682.3000002</v>
      </c>
      <c r="N40" s="44">
        <v>184067</v>
      </c>
      <c r="AB40" s="42">
        <v>45841</v>
      </c>
      <c r="AC40" s="42">
        <v>45897</v>
      </c>
      <c r="AD40" s="3" t="s">
        <v>107</v>
      </c>
      <c r="AE40" s="3" t="s">
        <v>108</v>
      </c>
      <c r="AF40" s="43">
        <v>1531.3</v>
      </c>
      <c r="AG40" s="43">
        <v>1538.8</v>
      </c>
      <c r="AH40" s="43">
        <v>1523.2</v>
      </c>
      <c r="AI40" s="43">
        <v>1527.7</v>
      </c>
      <c r="AJ40" s="43">
        <v>1527.2</v>
      </c>
      <c r="AK40" s="43">
        <v>1527.7</v>
      </c>
      <c r="AL40" s="44">
        <v>635500</v>
      </c>
      <c r="AM40" s="43">
        <v>973041450</v>
      </c>
      <c r="AN40" s="43">
        <v>973041450</v>
      </c>
      <c r="AO40" s="44">
        <v>27479500</v>
      </c>
      <c r="AP40" s="44">
        <v>122500</v>
      </c>
      <c r="AQ40" s="42">
        <v>45874</v>
      </c>
      <c r="AR40" s="42">
        <v>45930</v>
      </c>
      <c r="AS40" s="3" t="s">
        <v>107</v>
      </c>
      <c r="AT40" s="3" t="s">
        <v>108</v>
      </c>
      <c r="AU40" s="43">
        <v>1417.1</v>
      </c>
      <c r="AV40" s="43">
        <v>1417.1</v>
      </c>
      <c r="AW40" s="43">
        <v>1395</v>
      </c>
      <c r="AX40" s="43">
        <v>1398.3</v>
      </c>
      <c r="AY40" s="43">
        <v>1398</v>
      </c>
      <c r="AZ40" s="43">
        <v>1398.3</v>
      </c>
      <c r="BA40" s="44">
        <v>855000</v>
      </c>
      <c r="BB40" s="43">
        <v>1198567650</v>
      </c>
      <c r="BC40" s="43">
        <v>1198567650</v>
      </c>
      <c r="BD40" s="44">
        <v>12765500</v>
      </c>
      <c r="BE40" s="44">
        <v>131000</v>
      </c>
    </row>
    <row r="41" spans="1:57" x14ac:dyDescent="0.3">
      <c r="A41" s="42">
        <v>45895</v>
      </c>
      <c r="B41" s="3" t="s">
        <v>106</v>
      </c>
      <c r="C41" s="43">
        <v>1408</v>
      </c>
      <c r="D41" s="43">
        <v>1410</v>
      </c>
      <c r="E41" s="43">
        <v>1381.6</v>
      </c>
      <c r="F41" s="43">
        <v>1412.6</v>
      </c>
      <c r="G41" s="43">
        <v>1383.8</v>
      </c>
      <c r="H41" s="43">
        <v>1384.9</v>
      </c>
      <c r="I41" s="43">
        <v>1390.78</v>
      </c>
      <c r="J41" s="43">
        <v>3079.45</v>
      </c>
      <c r="K41" s="43">
        <v>1114.8499999999999</v>
      </c>
      <c r="L41" s="44">
        <v>12145259</v>
      </c>
      <c r="M41" s="43">
        <v>16891359345.299999</v>
      </c>
      <c r="N41" s="44">
        <v>201578</v>
      </c>
      <c r="AB41" s="42">
        <v>45840</v>
      </c>
      <c r="AC41" s="42">
        <v>45897</v>
      </c>
      <c r="AD41" s="3" t="s">
        <v>107</v>
      </c>
      <c r="AE41" s="3" t="s">
        <v>108</v>
      </c>
      <c r="AF41" s="43">
        <v>1538</v>
      </c>
      <c r="AG41" s="43">
        <v>1538</v>
      </c>
      <c r="AH41" s="43">
        <v>1520.5</v>
      </c>
      <c r="AI41" s="43">
        <v>1527</v>
      </c>
      <c r="AJ41" s="43">
        <v>1526</v>
      </c>
      <c r="AK41" s="43">
        <v>1527</v>
      </c>
      <c r="AL41" s="44">
        <v>339000</v>
      </c>
      <c r="AM41" s="43">
        <v>517818850</v>
      </c>
      <c r="AN41" s="43">
        <v>517818850</v>
      </c>
      <c r="AO41" s="44">
        <v>27357000</v>
      </c>
      <c r="AP41" s="44">
        <v>103000</v>
      </c>
      <c r="AQ41" s="42">
        <v>45873</v>
      </c>
      <c r="AR41" s="42">
        <v>45930</v>
      </c>
      <c r="AS41" s="3" t="s">
        <v>107</v>
      </c>
      <c r="AT41" s="3" t="s">
        <v>108</v>
      </c>
      <c r="AU41" s="43">
        <v>1400</v>
      </c>
      <c r="AV41" s="43">
        <v>1421.9</v>
      </c>
      <c r="AW41" s="43">
        <v>1400</v>
      </c>
      <c r="AX41" s="43">
        <v>1417.5</v>
      </c>
      <c r="AY41" s="43">
        <v>1418</v>
      </c>
      <c r="AZ41" s="43">
        <v>1417.5</v>
      </c>
      <c r="BA41" s="44">
        <v>555000</v>
      </c>
      <c r="BB41" s="43">
        <v>785825550</v>
      </c>
      <c r="BC41" s="43">
        <v>785825550</v>
      </c>
      <c r="BD41" s="44">
        <v>12634500</v>
      </c>
      <c r="BE41" s="44">
        <v>5500</v>
      </c>
    </row>
    <row r="42" spans="1:57" x14ac:dyDescent="0.3">
      <c r="A42" s="42">
        <v>45897</v>
      </c>
      <c r="B42" s="3" t="s">
        <v>106</v>
      </c>
      <c r="C42" s="43">
        <v>1389.9</v>
      </c>
      <c r="D42" s="43">
        <v>1392.2</v>
      </c>
      <c r="E42" s="43">
        <v>1366.5</v>
      </c>
      <c r="F42" s="43">
        <v>1384.9</v>
      </c>
      <c r="G42" s="43">
        <v>1390.9</v>
      </c>
      <c r="H42" s="43">
        <v>1385.9</v>
      </c>
      <c r="I42" s="43">
        <v>1380.78</v>
      </c>
      <c r="J42" s="43">
        <v>3079.45</v>
      </c>
      <c r="K42" s="43">
        <v>1114.8499999999999</v>
      </c>
      <c r="L42" s="44">
        <v>13161813</v>
      </c>
      <c r="M42" s="43">
        <v>18173599832</v>
      </c>
      <c r="N42" s="44">
        <v>252423</v>
      </c>
      <c r="AB42" s="42">
        <v>45839</v>
      </c>
      <c r="AC42" s="42">
        <v>45897</v>
      </c>
      <c r="AD42" s="3" t="s">
        <v>107</v>
      </c>
      <c r="AE42" s="3" t="s">
        <v>108</v>
      </c>
      <c r="AF42" s="43">
        <v>1518.8</v>
      </c>
      <c r="AG42" s="43">
        <v>1539</v>
      </c>
      <c r="AH42" s="43">
        <v>1514</v>
      </c>
      <c r="AI42" s="43">
        <v>1536.2</v>
      </c>
      <c r="AJ42" s="43">
        <v>1535.5</v>
      </c>
      <c r="AK42" s="43">
        <v>1536.2</v>
      </c>
      <c r="AL42" s="44">
        <v>741000</v>
      </c>
      <c r="AM42" s="43">
        <v>1135305850</v>
      </c>
      <c r="AN42" s="43">
        <v>1135305850</v>
      </c>
      <c r="AO42" s="44">
        <v>27254000</v>
      </c>
      <c r="AP42" s="44">
        <v>-199000</v>
      </c>
      <c r="AQ42" s="42">
        <v>45870</v>
      </c>
      <c r="AR42" s="42">
        <v>45930</v>
      </c>
      <c r="AS42" s="3" t="s">
        <v>107</v>
      </c>
      <c r="AT42" s="3" t="s">
        <v>108</v>
      </c>
      <c r="AU42" s="43">
        <v>1399</v>
      </c>
      <c r="AV42" s="43">
        <v>1413</v>
      </c>
      <c r="AW42" s="43">
        <v>1392.5</v>
      </c>
      <c r="AX42" s="43">
        <v>1400.6</v>
      </c>
      <c r="AY42" s="43">
        <v>1401</v>
      </c>
      <c r="AZ42" s="43">
        <v>1400.6</v>
      </c>
      <c r="BA42" s="44">
        <v>557000</v>
      </c>
      <c r="BB42" s="43">
        <v>783011600</v>
      </c>
      <c r="BC42" s="43">
        <v>783011600</v>
      </c>
      <c r="BD42" s="44">
        <v>12629000</v>
      </c>
      <c r="BE42" s="44">
        <v>-12500</v>
      </c>
    </row>
    <row r="43" spans="1:57" x14ac:dyDescent="0.3">
      <c r="A43" s="42">
        <v>45898</v>
      </c>
      <c r="B43" s="3" t="s">
        <v>106</v>
      </c>
      <c r="C43" s="43">
        <v>1381.1</v>
      </c>
      <c r="D43" s="43">
        <v>1403.5</v>
      </c>
      <c r="E43" s="43">
        <v>1350</v>
      </c>
      <c r="F43" s="43">
        <v>1385.9</v>
      </c>
      <c r="G43" s="43">
        <v>1356</v>
      </c>
      <c r="H43" s="43">
        <v>1357.2</v>
      </c>
      <c r="I43" s="43">
        <v>1375.14</v>
      </c>
      <c r="J43" s="43">
        <v>3079.45</v>
      </c>
      <c r="K43" s="43">
        <v>1114.8499999999999</v>
      </c>
      <c r="L43" s="44">
        <v>18758842</v>
      </c>
      <c r="M43" s="43">
        <v>25796085387.599998</v>
      </c>
      <c r="N43" s="44">
        <v>348532</v>
      </c>
      <c r="AQ43" s="42">
        <v>45869</v>
      </c>
      <c r="AR43" s="42">
        <v>45930</v>
      </c>
      <c r="AS43" s="3" t="s">
        <v>107</v>
      </c>
      <c r="AT43" s="3" t="s">
        <v>108</v>
      </c>
      <c r="AU43" s="43">
        <v>1400</v>
      </c>
      <c r="AV43" s="43">
        <v>1412.1</v>
      </c>
      <c r="AW43" s="43">
        <v>1390.1</v>
      </c>
      <c r="AX43" s="43">
        <v>1400.5</v>
      </c>
      <c r="AY43" s="43">
        <v>1401.1</v>
      </c>
      <c r="AZ43" s="43">
        <v>1400.5</v>
      </c>
      <c r="BA43" s="44">
        <v>1138500</v>
      </c>
      <c r="BB43" s="43">
        <v>1595849300</v>
      </c>
      <c r="BC43" s="43">
        <v>1595849300</v>
      </c>
      <c r="BD43" s="44">
        <v>12641500</v>
      </c>
      <c r="BE43" s="44">
        <v>577500</v>
      </c>
    </row>
    <row r="44" spans="1:57" x14ac:dyDescent="0.3">
      <c r="A44" s="42">
        <v>45901</v>
      </c>
      <c r="B44" s="3" t="s">
        <v>106</v>
      </c>
      <c r="C44" s="43">
        <v>1356</v>
      </c>
      <c r="D44" s="43">
        <v>1363.2</v>
      </c>
      <c r="E44" s="43">
        <v>1340.6</v>
      </c>
      <c r="F44" s="43">
        <v>1357.2</v>
      </c>
      <c r="G44" s="43">
        <v>1355</v>
      </c>
      <c r="H44" s="43">
        <v>1353.9</v>
      </c>
      <c r="I44" s="43">
        <v>1353.99</v>
      </c>
      <c r="J44" s="43">
        <v>3066.95</v>
      </c>
      <c r="K44" s="43">
        <v>1114.8499999999999</v>
      </c>
      <c r="L44" s="44">
        <v>11232238</v>
      </c>
      <c r="M44" s="43">
        <v>15208377268.5</v>
      </c>
      <c r="N44" s="44">
        <v>249574</v>
      </c>
      <c r="AQ44" s="42">
        <v>45868</v>
      </c>
      <c r="AR44" s="42">
        <v>45930</v>
      </c>
      <c r="AS44" s="3" t="s">
        <v>107</v>
      </c>
      <c r="AT44" s="3" t="s">
        <v>108</v>
      </c>
      <c r="AU44" s="43">
        <v>1432</v>
      </c>
      <c r="AV44" s="43">
        <v>1436</v>
      </c>
      <c r="AW44" s="43">
        <v>1413.6</v>
      </c>
      <c r="AX44" s="43">
        <v>1419.9</v>
      </c>
      <c r="AY44" s="43">
        <v>1422</v>
      </c>
      <c r="AZ44" s="43">
        <v>1419.9</v>
      </c>
      <c r="BA44" s="44">
        <v>2873000</v>
      </c>
      <c r="BB44" s="43">
        <v>4086745700</v>
      </c>
      <c r="BC44" s="43">
        <v>4086745700</v>
      </c>
      <c r="BD44" s="44">
        <v>12064000</v>
      </c>
      <c r="BE44" s="44">
        <v>2527500</v>
      </c>
    </row>
    <row r="45" spans="1:57" x14ac:dyDescent="0.3">
      <c r="A45" s="42">
        <v>45902</v>
      </c>
      <c r="B45" s="3" t="s">
        <v>106</v>
      </c>
      <c r="C45" s="43">
        <v>1354.8</v>
      </c>
      <c r="D45" s="43">
        <v>1384.5</v>
      </c>
      <c r="E45" s="43">
        <v>1354.5</v>
      </c>
      <c r="F45" s="43">
        <v>1353.9</v>
      </c>
      <c r="G45" s="43">
        <v>1367.5</v>
      </c>
      <c r="H45" s="43">
        <v>1366.5</v>
      </c>
      <c r="I45" s="43">
        <v>1374.28</v>
      </c>
      <c r="J45" s="43">
        <v>3066.95</v>
      </c>
      <c r="K45" s="43">
        <v>1114.8499999999999</v>
      </c>
      <c r="L45" s="44">
        <v>11517006</v>
      </c>
      <c r="M45" s="43">
        <v>15827620364.299999</v>
      </c>
      <c r="N45" s="44">
        <v>235433</v>
      </c>
      <c r="AQ45" s="42">
        <v>45867</v>
      </c>
      <c r="AR45" s="42">
        <v>45930</v>
      </c>
      <c r="AS45" s="3" t="s">
        <v>107</v>
      </c>
      <c r="AT45" s="3" t="s">
        <v>108</v>
      </c>
      <c r="AU45" s="43">
        <v>1400.1</v>
      </c>
      <c r="AV45" s="43">
        <v>1428.8</v>
      </c>
      <c r="AW45" s="43">
        <v>1398</v>
      </c>
      <c r="AX45" s="43">
        <v>1427.2</v>
      </c>
      <c r="AY45" s="43">
        <v>1425.7</v>
      </c>
      <c r="AZ45" s="43">
        <v>1427.2</v>
      </c>
      <c r="BA45" s="44">
        <v>4449500</v>
      </c>
      <c r="BB45" s="43">
        <v>6254946500</v>
      </c>
      <c r="BC45" s="43">
        <v>6254946500</v>
      </c>
      <c r="BD45" s="44">
        <v>9536500</v>
      </c>
      <c r="BE45" s="44">
        <v>3904000</v>
      </c>
    </row>
    <row r="46" spans="1:57" x14ac:dyDescent="0.3">
      <c r="A46" s="42">
        <v>45903</v>
      </c>
      <c r="B46" s="3" t="s">
        <v>106</v>
      </c>
      <c r="C46" s="43">
        <v>1369.7</v>
      </c>
      <c r="D46" s="43">
        <v>1376.5</v>
      </c>
      <c r="E46" s="43">
        <v>1360.5</v>
      </c>
      <c r="F46" s="43">
        <v>1366.5</v>
      </c>
      <c r="G46" s="43">
        <v>1372</v>
      </c>
      <c r="H46" s="43">
        <v>1372.6</v>
      </c>
      <c r="I46" s="43">
        <v>1368.85</v>
      </c>
      <c r="J46" s="43">
        <v>3066.95</v>
      </c>
      <c r="K46" s="43">
        <v>1114.8499999999999</v>
      </c>
      <c r="L46" s="44">
        <v>7847563</v>
      </c>
      <c r="M46" s="43">
        <v>10742161678.4</v>
      </c>
      <c r="N46" s="44">
        <v>209277</v>
      </c>
      <c r="AQ46" s="42">
        <v>45866</v>
      </c>
      <c r="AR46" s="42">
        <v>45930</v>
      </c>
      <c r="AS46" s="3" t="s">
        <v>107</v>
      </c>
      <c r="AT46" s="3" t="s">
        <v>108</v>
      </c>
      <c r="AU46" s="43">
        <v>1401</v>
      </c>
      <c r="AV46" s="43">
        <v>1419</v>
      </c>
      <c r="AW46" s="43">
        <v>1397.8</v>
      </c>
      <c r="AX46" s="43">
        <v>1399.7</v>
      </c>
      <c r="AY46" s="43">
        <v>1399.5</v>
      </c>
      <c r="AZ46" s="43">
        <v>1399.7</v>
      </c>
      <c r="BA46" s="44">
        <v>1164000</v>
      </c>
      <c r="BB46" s="43">
        <v>1644518550</v>
      </c>
      <c r="BC46" s="43">
        <v>1644518550</v>
      </c>
      <c r="BD46" s="44">
        <v>5632500</v>
      </c>
      <c r="BE46" s="44">
        <v>856000</v>
      </c>
    </row>
    <row r="47" spans="1:57" x14ac:dyDescent="0.3">
      <c r="A47" s="42">
        <v>45904</v>
      </c>
      <c r="B47" s="3" t="s">
        <v>106</v>
      </c>
      <c r="C47" s="43">
        <v>1371.8</v>
      </c>
      <c r="D47" s="43">
        <v>1374</v>
      </c>
      <c r="E47" s="43">
        <v>1357.1</v>
      </c>
      <c r="F47" s="43">
        <v>1372.6</v>
      </c>
      <c r="G47" s="43">
        <v>1359.1</v>
      </c>
      <c r="H47" s="43">
        <v>1359.3</v>
      </c>
      <c r="I47" s="43">
        <v>1363.97</v>
      </c>
      <c r="J47" s="43">
        <v>3066.95</v>
      </c>
      <c r="K47" s="43">
        <v>1114.8499999999999</v>
      </c>
      <c r="L47" s="44">
        <v>13223177</v>
      </c>
      <c r="M47" s="43">
        <v>18035988833.700001</v>
      </c>
      <c r="N47" s="44">
        <v>200473</v>
      </c>
      <c r="AQ47" s="42">
        <v>45863</v>
      </c>
      <c r="AR47" s="42">
        <v>45930</v>
      </c>
      <c r="AS47" s="3" t="s">
        <v>107</v>
      </c>
      <c r="AT47" s="3" t="s">
        <v>108</v>
      </c>
      <c r="AU47" s="43">
        <v>1410</v>
      </c>
      <c r="AV47" s="43">
        <v>1414</v>
      </c>
      <c r="AW47" s="43">
        <v>1397.2</v>
      </c>
      <c r="AX47" s="43">
        <v>1404.4</v>
      </c>
      <c r="AY47" s="43">
        <v>1404.6</v>
      </c>
      <c r="AZ47" s="43">
        <v>1404.4</v>
      </c>
      <c r="BA47" s="44">
        <v>420500</v>
      </c>
      <c r="BB47" s="43">
        <v>591695800</v>
      </c>
      <c r="BC47" s="43">
        <v>591695800</v>
      </c>
      <c r="BD47" s="44">
        <v>4776500</v>
      </c>
      <c r="BE47" s="44">
        <v>167000</v>
      </c>
    </row>
    <row r="48" spans="1:57" x14ac:dyDescent="0.3">
      <c r="A48" s="42">
        <v>45905</v>
      </c>
      <c r="B48" s="3" t="s">
        <v>106</v>
      </c>
      <c r="C48" s="43">
        <v>1363</v>
      </c>
      <c r="D48" s="43">
        <v>1381</v>
      </c>
      <c r="E48" s="43">
        <v>1359.3</v>
      </c>
      <c r="F48" s="43">
        <v>1359.3</v>
      </c>
      <c r="G48" s="43">
        <v>1375.7</v>
      </c>
      <c r="H48" s="43">
        <v>1375</v>
      </c>
      <c r="I48" s="43">
        <v>1370.36</v>
      </c>
      <c r="J48" s="43">
        <v>3066.95</v>
      </c>
      <c r="K48" s="43">
        <v>1114.8499999999999</v>
      </c>
      <c r="L48" s="44">
        <v>5777575</v>
      </c>
      <c r="M48" s="43">
        <v>7917373815.6000004</v>
      </c>
      <c r="N48" s="44">
        <v>142951</v>
      </c>
      <c r="AQ48" s="42">
        <v>45862</v>
      </c>
      <c r="AR48" s="42">
        <v>45930</v>
      </c>
      <c r="AS48" s="3" t="s">
        <v>107</v>
      </c>
      <c r="AT48" s="3" t="s">
        <v>108</v>
      </c>
      <c r="AU48" s="43">
        <v>1433.3</v>
      </c>
      <c r="AV48" s="43">
        <v>1434.3</v>
      </c>
      <c r="AW48" s="43">
        <v>1409.6</v>
      </c>
      <c r="AX48" s="43">
        <v>1416.6</v>
      </c>
      <c r="AY48" s="43">
        <v>1416.7</v>
      </c>
      <c r="AZ48" s="43">
        <v>1416.6</v>
      </c>
      <c r="BA48" s="44">
        <v>480500</v>
      </c>
      <c r="BB48" s="43">
        <v>682288400</v>
      </c>
      <c r="BC48" s="43">
        <v>682288400</v>
      </c>
      <c r="BD48" s="44">
        <v>4609500</v>
      </c>
      <c r="BE48" s="44">
        <v>258500</v>
      </c>
    </row>
    <row r="49" spans="1:57" x14ac:dyDescent="0.3">
      <c r="A49" s="42">
        <v>45908</v>
      </c>
      <c r="B49" s="3" t="s">
        <v>106</v>
      </c>
      <c r="C49" s="43">
        <v>1380</v>
      </c>
      <c r="D49" s="43">
        <v>1386</v>
      </c>
      <c r="E49" s="43">
        <v>1372.4</v>
      </c>
      <c r="F49" s="43">
        <v>1375</v>
      </c>
      <c r="G49" s="43">
        <v>1378.9</v>
      </c>
      <c r="H49" s="43">
        <v>1378.5</v>
      </c>
      <c r="I49" s="43">
        <v>1379.43</v>
      </c>
      <c r="J49" s="43">
        <v>3066.95</v>
      </c>
      <c r="K49" s="43">
        <v>1114.8499999999999</v>
      </c>
      <c r="L49" s="44">
        <v>6986720</v>
      </c>
      <c r="M49" s="43">
        <v>9637680456.6000004</v>
      </c>
      <c r="N49" s="44">
        <v>131052</v>
      </c>
      <c r="AQ49" s="42">
        <v>45861</v>
      </c>
      <c r="AR49" s="42">
        <v>45930</v>
      </c>
      <c r="AS49" s="3" t="s">
        <v>107</v>
      </c>
      <c r="AT49" s="3" t="s">
        <v>108</v>
      </c>
      <c r="AU49" s="43">
        <v>1434.6</v>
      </c>
      <c r="AV49" s="43">
        <v>1438.4</v>
      </c>
      <c r="AW49" s="43">
        <v>1429.4</v>
      </c>
      <c r="AX49" s="43">
        <v>1437.4</v>
      </c>
      <c r="AY49" s="43">
        <v>1438.2</v>
      </c>
      <c r="AZ49" s="43">
        <v>1437.4</v>
      </c>
      <c r="BA49" s="44">
        <v>250000</v>
      </c>
      <c r="BB49" s="43">
        <v>358422800</v>
      </c>
      <c r="BC49" s="43">
        <v>358422800</v>
      </c>
      <c r="BD49" s="44">
        <v>4351000</v>
      </c>
      <c r="BE49" s="44">
        <v>63500</v>
      </c>
    </row>
    <row r="50" spans="1:57" x14ac:dyDescent="0.3">
      <c r="A50" s="42">
        <v>45909</v>
      </c>
      <c r="B50" s="3" t="s">
        <v>106</v>
      </c>
      <c r="C50" s="43">
        <v>1376.6</v>
      </c>
      <c r="D50" s="43">
        <v>1381.2</v>
      </c>
      <c r="E50" s="43">
        <v>1368.7</v>
      </c>
      <c r="F50" s="43">
        <v>1378.5</v>
      </c>
      <c r="G50" s="43">
        <v>1376.1</v>
      </c>
      <c r="H50" s="43">
        <v>1376.2</v>
      </c>
      <c r="I50" s="43">
        <v>1375.44</v>
      </c>
      <c r="J50" s="43">
        <v>3066.95</v>
      </c>
      <c r="K50" s="43">
        <v>1114.8499999999999</v>
      </c>
      <c r="L50" s="44">
        <v>9754452</v>
      </c>
      <c r="M50" s="43">
        <v>13416675656.700001</v>
      </c>
      <c r="N50" s="44">
        <v>209637</v>
      </c>
      <c r="AQ50" s="42">
        <v>45860</v>
      </c>
      <c r="AR50" s="42">
        <v>45930</v>
      </c>
      <c r="AS50" s="3" t="s">
        <v>107</v>
      </c>
      <c r="AT50" s="3" t="s">
        <v>108</v>
      </c>
      <c r="AU50" s="43">
        <v>1444.2</v>
      </c>
      <c r="AV50" s="43">
        <v>1446.7</v>
      </c>
      <c r="AW50" s="43">
        <v>1425.4</v>
      </c>
      <c r="AX50" s="43">
        <v>1426.7</v>
      </c>
      <c r="AY50" s="43">
        <v>1427.6</v>
      </c>
      <c r="AZ50" s="43">
        <v>1426.7</v>
      </c>
      <c r="BA50" s="44">
        <v>475000</v>
      </c>
      <c r="BB50" s="43">
        <v>680467100</v>
      </c>
      <c r="BC50" s="43">
        <v>680467100</v>
      </c>
      <c r="BD50" s="44">
        <v>4287500</v>
      </c>
      <c r="BE50" s="44">
        <v>259000</v>
      </c>
    </row>
    <row r="51" spans="1:57" x14ac:dyDescent="0.3">
      <c r="A51" s="42">
        <v>45910</v>
      </c>
      <c r="B51" s="3" t="s">
        <v>106</v>
      </c>
      <c r="C51" s="43">
        <v>1383.9</v>
      </c>
      <c r="D51" s="43">
        <v>1388.5</v>
      </c>
      <c r="E51" s="43">
        <v>1374.1</v>
      </c>
      <c r="F51" s="43">
        <v>1376.2</v>
      </c>
      <c r="G51" s="43">
        <v>1377.5</v>
      </c>
      <c r="H51" s="43">
        <v>1377</v>
      </c>
      <c r="I51" s="43">
        <v>1380.12</v>
      </c>
      <c r="J51" s="43">
        <v>3066.95</v>
      </c>
      <c r="K51" s="43">
        <v>1114.8499999999999</v>
      </c>
      <c r="L51" s="44">
        <v>7790815</v>
      </c>
      <c r="M51" s="43">
        <v>10752266849.200001</v>
      </c>
      <c r="N51" s="44">
        <v>222655</v>
      </c>
      <c r="AQ51" s="42">
        <v>45859</v>
      </c>
      <c r="AR51" s="42">
        <v>45930</v>
      </c>
      <c r="AS51" s="3" t="s">
        <v>107</v>
      </c>
      <c r="AT51" s="3" t="s">
        <v>108</v>
      </c>
      <c r="AU51" s="43">
        <v>1480</v>
      </c>
      <c r="AV51" s="43">
        <v>1483.7</v>
      </c>
      <c r="AW51" s="43">
        <v>1438.8</v>
      </c>
      <c r="AX51" s="43">
        <v>1443.7</v>
      </c>
      <c r="AY51" s="43">
        <v>1444.2</v>
      </c>
      <c r="AZ51" s="43">
        <v>1443.7</v>
      </c>
      <c r="BA51" s="44">
        <v>912000</v>
      </c>
      <c r="BB51" s="43">
        <v>1323491400</v>
      </c>
      <c r="BC51" s="43">
        <v>1323491400</v>
      </c>
      <c r="BD51" s="44">
        <v>4028500</v>
      </c>
      <c r="BE51" s="44">
        <v>707500</v>
      </c>
    </row>
    <row r="52" spans="1:57" x14ac:dyDescent="0.3">
      <c r="A52" s="42">
        <v>45911</v>
      </c>
      <c r="B52" s="3" t="s">
        <v>106</v>
      </c>
      <c r="C52" s="43">
        <v>1376</v>
      </c>
      <c r="D52" s="43">
        <v>1385.5</v>
      </c>
      <c r="E52" s="43">
        <v>1375</v>
      </c>
      <c r="F52" s="43">
        <v>1377</v>
      </c>
      <c r="G52" s="43">
        <v>1382.1</v>
      </c>
      <c r="H52" s="43">
        <v>1383.3</v>
      </c>
      <c r="I52" s="43">
        <v>1382.49</v>
      </c>
      <c r="J52" s="43">
        <v>3066.95</v>
      </c>
      <c r="K52" s="43">
        <v>1114.8499999999999</v>
      </c>
      <c r="L52" s="44">
        <v>9766072</v>
      </c>
      <c r="M52" s="43">
        <v>13501479258.5</v>
      </c>
      <c r="N52" s="44">
        <v>173431</v>
      </c>
      <c r="AQ52" s="42">
        <v>45856</v>
      </c>
      <c r="AR52" s="42">
        <v>45930</v>
      </c>
      <c r="AS52" s="3" t="s">
        <v>107</v>
      </c>
      <c r="AT52" s="3" t="s">
        <v>108</v>
      </c>
      <c r="AU52" s="43">
        <v>1494.9</v>
      </c>
      <c r="AV52" s="43">
        <v>1498</v>
      </c>
      <c r="AW52" s="43">
        <v>1484.7</v>
      </c>
      <c r="AX52" s="43">
        <v>1493.5</v>
      </c>
      <c r="AY52" s="43">
        <v>1494</v>
      </c>
      <c r="AZ52" s="43">
        <v>1493.5</v>
      </c>
      <c r="BA52" s="44">
        <v>164500</v>
      </c>
      <c r="BB52" s="43">
        <v>245321000</v>
      </c>
      <c r="BC52" s="43">
        <v>245321000</v>
      </c>
      <c r="BD52" s="44">
        <v>3321000</v>
      </c>
      <c r="BE52" s="44">
        <v>65500</v>
      </c>
    </row>
    <row r="53" spans="1:57" x14ac:dyDescent="0.3">
      <c r="A53" s="42">
        <v>45912</v>
      </c>
      <c r="B53" s="3" t="s">
        <v>106</v>
      </c>
      <c r="C53" s="43">
        <v>1383.3</v>
      </c>
      <c r="D53" s="43">
        <v>1396.3</v>
      </c>
      <c r="E53" s="43">
        <v>1380.5</v>
      </c>
      <c r="F53" s="43">
        <v>1383.3</v>
      </c>
      <c r="G53" s="43">
        <v>1395</v>
      </c>
      <c r="H53" s="43">
        <v>1395</v>
      </c>
      <c r="I53" s="43">
        <v>1392.69</v>
      </c>
      <c r="J53" s="43">
        <v>3066.95</v>
      </c>
      <c r="K53" s="43">
        <v>1114.8499999999999</v>
      </c>
      <c r="L53" s="44">
        <v>7403368</v>
      </c>
      <c r="M53" s="43">
        <v>10310608459.5</v>
      </c>
      <c r="N53" s="44">
        <v>156369</v>
      </c>
      <c r="AQ53" s="42">
        <v>45855</v>
      </c>
      <c r="AR53" s="42">
        <v>45930</v>
      </c>
      <c r="AS53" s="3" t="s">
        <v>107</v>
      </c>
      <c r="AT53" s="3" t="s">
        <v>108</v>
      </c>
      <c r="AU53" s="43">
        <v>1504.5</v>
      </c>
      <c r="AV53" s="43">
        <v>1504.5</v>
      </c>
      <c r="AW53" s="43">
        <v>1490.8</v>
      </c>
      <c r="AX53" s="43">
        <v>1493.3</v>
      </c>
      <c r="AY53" s="43">
        <v>1494.8</v>
      </c>
      <c r="AZ53" s="43">
        <v>1493.3</v>
      </c>
      <c r="BA53" s="44">
        <v>2204000</v>
      </c>
      <c r="BB53" s="43">
        <v>3299112300</v>
      </c>
      <c r="BC53" s="43">
        <v>3299112300</v>
      </c>
      <c r="BD53" s="44">
        <v>3255500</v>
      </c>
      <c r="BE53" s="44">
        <v>2061000</v>
      </c>
    </row>
    <row r="54" spans="1:57" x14ac:dyDescent="0.3">
      <c r="A54" s="42">
        <v>45915</v>
      </c>
      <c r="B54" s="3" t="s">
        <v>106</v>
      </c>
      <c r="C54" s="43">
        <v>1393</v>
      </c>
      <c r="D54" s="43">
        <v>1400.8</v>
      </c>
      <c r="E54" s="43">
        <v>1388.6</v>
      </c>
      <c r="F54" s="43">
        <v>1395</v>
      </c>
      <c r="G54" s="43">
        <v>1399.3</v>
      </c>
      <c r="H54" s="43">
        <v>1399.3</v>
      </c>
      <c r="I54" s="43">
        <v>1395.97</v>
      </c>
      <c r="J54" s="43">
        <v>3066.95</v>
      </c>
      <c r="K54" s="43">
        <v>1114.8499999999999</v>
      </c>
      <c r="L54" s="44">
        <v>5396697</v>
      </c>
      <c r="M54" s="43">
        <v>7533635758.1999998</v>
      </c>
      <c r="N54" s="44">
        <v>130728</v>
      </c>
      <c r="AQ54" s="42">
        <v>45854</v>
      </c>
      <c r="AR54" s="42">
        <v>45930</v>
      </c>
      <c r="AS54" s="3" t="s">
        <v>107</v>
      </c>
      <c r="AT54" s="3" t="s">
        <v>108</v>
      </c>
      <c r="AU54" s="43">
        <v>1490</v>
      </c>
      <c r="AV54" s="43">
        <v>1507</v>
      </c>
      <c r="AW54" s="43">
        <v>1490</v>
      </c>
      <c r="AX54" s="43">
        <v>1501</v>
      </c>
      <c r="AY54" s="43">
        <v>1500.2</v>
      </c>
      <c r="AZ54" s="43">
        <v>1501</v>
      </c>
      <c r="BA54" s="44">
        <v>139000</v>
      </c>
      <c r="BB54" s="43">
        <v>207973450</v>
      </c>
      <c r="BC54" s="43">
        <v>207973450</v>
      </c>
      <c r="BD54" s="44">
        <v>1194500</v>
      </c>
      <c r="BE54" s="44">
        <v>48500</v>
      </c>
    </row>
    <row r="55" spans="1:57" x14ac:dyDescent="0.3">
      <c r="A55" s="42">
        <v>45916</v>
      </c>
      <c r="B55" s="3" t="s">
        <v>106</v>
      </c>
      <c r="C55" s="43">
        <v>1404.7</v>
      </c>
      <c r="D55" s="43">
        <v>1408</v>
      </c>
      <c r="E55" s="43">
        <v>1398.2</v>
      </c>
      <c r="F55" s="43">
        <v>1399.3</v>
      </c>
      <c r="G55" s="43">
        <v>1405.9</v>
      </c>
      <c r="H55" s="43">
        <v>1405.3</v>
      </c>
      <c r="I55" s="43">
        <v>1404</v>
      </c>
      <c r="J55" s="43">
        <v>3066.95</v>
      </c>
      <c r="K55" s="43">
        <v>1114.8499999999999</v>
      </c>
      <c r="L55" s="44">
        <v>8686961</v>
      </c>
      <c r="M55" s="43">
        <v>12196451860.1</v>
      </c>
      <c r="N55" s="44">
        <v>170452</v>
      </c>
      <c r="AQ55" s="42">
        <v>45853</v>
      </c>
      <c r="AR55" s="42">
        <v>45930</v>
      </c>
      <c r="AS55" s="3" t="s">
        <v>107</v>
      </c>
      <c r="AT55" s="3" t="s">
        <v>108</v>
      </c>
      <c r="AU55" s="43">
        <v>1504</v>
      </c>
      <c r="AV55" s="43">
        <v>1511</v>
      </c>
      <c r="AW55" s="43">
        <v>1500.5</v>
      </c>
      <c r="AX55" s="43">
        <v>1502.3</v>
      </c>
      <c r="AY55" s="43">
        <v>1504.8</v>
      </c>
      <c r="AZ55" s="43">
        <v>1502.3</v>
      </c>
      <c r="BA55" s="44">
        <v>77000</v>
      </c>
      <c r="BB55" s="43">
        <v>115842100</v>
      </c>
      <c r="BC55" s="43">
        <v>115842100</v>
      </c>
      <c r="BD55" s="44">
        <v>1146000</v>
      </c>
      <c r="BE55" s="44">
        <v>23500</v>
      </c>
    </row>
    <row r="56" spans="1:57" x14ac:dyDescent="0.3">
      <c r="A56" s="42">
        <v>45917</v>
      </c>
      <c r="B56" s="3" t="s">
        <v>106</v>
      </c>
      <c r="C56" s="43">
        <v>1407</v>
      </c>
      <c r="D56" s="43">
        <v>1416.2</v>
      </c>
      <c r="E56" s="43">
        <v>1406.9</v>
      </c>
      <c r="F56" s="43">
        <v>1405.3</v>
      </c>
      <c r="G56" s="43">
        <v>1413</v>
      </c>
      <c r="H56" s="43">
        <v>1413.8</v>
      </c>
      <c r="I56" s="43">
        <v>1412.05</v>
      </c>
      <c r="J56" s="43">
        <v>3066.95</v>
      </c>
      <c r="K56" s="43">
        <v>1114.8499999999999</v>
      </c>
      <c r="L56" s="44">
        <v>7519417</v>
      </c>
      <c r="M56" s="43">
        <v>10617806261</v>
      </c>
      <c r="N56" s="44">
        <v>189638</v>
      </c>
      <c r="AQ56" s="42">
        <v>45852</v>
      </c>
      <c r="AR56" s="42">
        <v>45930</v>
      </c>
      <c r="AS56" s="3" t="s">
        <v>107</v>
      </c>
      <c r="AT56" s="3" t="s">
        <v>108</v>
      </c>
      <c r="AU56" s="43">
        <v>1507.1</v>
      </c>
      <c r="AV56" s="43">
        <v>1519.6</v>
      </c>
      <c r="AW56" s="43">
        <v>1496.9</v>
      </c>
      <c r="AX56" s="43">
        <v>1501.4</v>
      </c>
      <c r="AY56" s="43">
        <v>1502.3</v>
      </c>
      <c r="AZ56" s="43">
        <v>1501.4</v>
      </c>
      <c r="BA56" s="44">
        <v>300500</v>
      </c>
      <c r="BB56" s="43">
        <v>452517750</v>
      </c>
      <c r="BC56" s="43">
        <v>452517750</v>
      </c>
      <c r="BD56" s="44">
        <v>1122500</v>
      </c>
      <c r="BE56" s="44">
        <v>176000</v>
      </c>
    </row>
    <row r="57" spans="1:57" x14ac:dyDescent="0.3">
      <c r="A57" s="42">
        <v>45918</v>
      </c>
      <c r="B57" s="3" t="s">
        <v>106</v>
      </c>
      <c r="C57" s="43">
        <v>1420.4</v>
      </c>
      <c r="D57" s="43">
        <v>1422</v>
      </c>
      <c r="E57" s="43">
        <v>1410.7</v>
      </c>
      <c r="F57" s="43">
        <v>1413.8</v>
      </c>
      <c r="G57" s="43">
        <v>1415</v>
      </c>
      <c r="H57" s="43">
        <v>1415</v>
      </c>
      <c r="I57" s="43">
        <v>1415.31</v>
      </c>
      <c r="J57" s="43">
        <v>3066.95</v>
      </c>
      <c r="K57" s="43">
        <v>1114.8499999999999</v>
      </c>
      <c r="L57" s="44">
        <v>9332642</v>
      </c>
      <c r="M57" s="43">
        <v>13208589778.1</v>
      </c>
      <c r="N57" s="44">
        <v>182559</v>
      </c>
      <c r="AQ57" s="42">
        <v>45849</v>
      </c>
      <c r="AR57" s="42">
        <v>45930</v>
      </c>
      <c r="AS57" s="3" t="s">
        <v>107</v>
      </c>
      <c r="AT57" s="3" t="s">
        <v>108</v>
      </c>
      <c r="AU57" s="43">
        <v>1526.3</v>
      </c>
      <c r="AV57" s="43">
        <v>1527.5</v>
      </c>
      <c r="AW57" s="43">
        <v>1507.8</v>
      </c>
      <c r="AX57" s="43">
        <v>1512.2</v>
      </c>
      <c r="AY57" s="43">
        <v>1512.3</v>
      </c>
      <c r="AZ57" s="43">
        <v>1512.2</v>
      </c>
      <c r="BA57" s="44">
        <v>340000</v>
      </c>
      <c r="BB57" s="43">
        <v>514392900</v>
      </c>
      <c r="BC57" s="43">
        <v>514392900</v>
      </c>
      <c r="BD57" s="44">
        <v>946500</v>
      </c>
      <c r="BE57" s="44">
        <v>247500</v>
      </c>
    </row>
    <row r="58" spans="1:57" x14ac:dyDescent="0.3">
      <c r="A58" s="42">
        <v>45919</v>
      </c>
      <c r="B58" s="3" t="s">
        <v>106</v>
      </c>
      <c r="C58" s="43">
        <v>1414.9</v>
      </c>
      <c r="D58" s="43">
        <v>1417</v>
      </c>
      <c r="E58" s="43">
        <v>1403.6</v>
      </c>
      <c r="F58" s="43">
        <v>1415</v>
      </c>
      <c r="G58" s="43">
        <v>1407.6</v>
      </c>
      <c r="H58" s="43">
        <v>1407.4</v>
      </c>
      <c r="I58" s="43">
        <v>1408.43</v>
      </c>
      <c r="J58" s="43">
        <v>3066.95</v>
      </c>
      <c r="K58" s="43">
        <v>1114.8499999999999</v>
      </c>
      <c r="L58" s="44">
        <v>13461373</v>
      </c>
      <c r="M58" s="43">
        <v>18959342246.099998</v>
      </c>
      <c r="N58" s="44">
        <v>143644</v>
      </c>
      <c r="AQ58" s="42">
        <v>45848</v>
      </c>
      <c r="AR58" s="42">
        <v>45930</v>
      </c>
      <c r="AS58" s="3" t="s">
        <v>107</v>
      </c>
      <c r="AT58" s="3" t="s">
        <v>108</v>
      </c>
      <c r="AU58" s="43">
        <v>1534.9</v>
      </c>
      <c r="AV58" s="43">
        <v>1540.6</v>
      </c>
      <c r="AW58" s="43">
        <v>1524.7</v>
      </c>
      <c r="AX58" s="43">
        <v>1532.1</v>
      </c>
      <c r="AY58" s="43">
        <v>1532</v>
      </c>
      <c r="AZ58" s="43">
        <v>1532.1</v>
      </c>
      <c r="BA58" s="44">
        <v>401000</v>
      </c>
      <c r="BB58" s="43">
        <v>613872850</v>
      </c>
      <c r="BC58" s="43">
        <v>613872850</v>
      </c>
      <c r="BD58" s="44">
        <v>699000</v>
      </c>
      <c r="BE58" s="44">
        <v>340000</v>
      </c>
    </row>
    <row r="59" spans="1:57" x14ac:dyDescent="0.3">
      <c r="A59" s="42">
        <v>45922</v>
      </c>
      <c r="B59" s="3" t="s">
        <v>106</v>
      </c>
      <c r="C59" s="43">
        <v>1403.9</v>
      </c>
      <c r="D59" s="43">
        <v>1410.7</v>
      </c>
      <c r="E59" s="43">
        <v>1388</v>
      </c>
      <c r="F59" s="43">
        <v>1407.4</v>
      </c>
      <c r="G59" s="43">
        <v>1390.9</v>
      </c>
      <c r="H59" s="43">
        <v>1390.6</v>
      </c>
      <c r="I59" s="43">
        <v>1400.91</v>
      </c>
      <c r="J59" s="43">
        <v>3066.95</v>
      </c>
      <c r="K59" s="43">
        <v>1114.8499999999999</v>
      </c>
      <c r="L59" s="44">
        <v>7757970</v>
      </c>
      <c r="M59" s="43">
        <v>10868228760.6</v>
      </c>
      <c r="N59" s="44">
        <v>136991</v>
      </c>
      <c r="AQ59" s="42">
        <v>45847</v>
      </c>
      <c r="AR59" s="42">
        <v>45930</v>
      </c>
      <c r="AS59" s="3" t="s">
        <v>107</v>
      </c>
      <c r="AT59" s="3" t="s">
        <v>108</v>
      </c>
      <c r="AU59" s="43">
        <v>1557.4</v>
      </c>
      <c r="AV59" s="43">
        <v>1566.9</v>
      </c>
      <c r="AW59" s="43">
        <v>1526.5</v>
      </c>
      <c r="AX59" s="43">
        <v>1538.1</v>
      </c>
      <c r="AY59" s="43">
        <v>1539</v>
      </c>
      <c r="AZ59" s="43">
        <v>1538.1</v>
      </c>
      <c r="BA59" s="44">
        <v>452500</v>
      </c>
      <c r="BB59" s="43">
        <v>698026750</v>
      </c>
      <c r="BC59" s="43">
        <v>698026750</v>
      </c>
      <c r="BD59" s="44">
        <v>359000</v>
      </c>
      <c r="BE59" s="44">
        <v>199500</v>
      </c>
    </row>
    <row r="60" spans="1:57" x14ac:dyDescent="0.3">
      <c r="A60" s="42">
        <v>45923</v>
      </c>
      <c r="B60" s="3" t="s">
        <v>106</v>
      </c>
      <c r="C60" s="43">
        <v>1391</v>
      </c>
      <c r="D60" s="43">
        <v>1395</v>
      </c>
      <c r="E60" s="43">
        <v>1376.8</v>
      </c>
      <c r="F60" s="43">
        <v>1390.6</v>
      </c>
      <c r="G60" s="43">
        <v>1390.5</v>
      </c>
      <c r="H60" s="43">
        <v>1389.8</v>
      </c>
      <c r="I60" s="43">
        <v>1387.57</v>
      </c>
      <c r="J60" s="43">
        <v>3066.95</v>
      </c>
      <c r="K60" s="43">
        <v>1114.8499999999999</v>
      </c>
      <c r="L60" s="44">
        <v>14014702</v>
      </c>
      <c r="M60" s="43">
        <v>19446355038.700001</v>
      </c>
      <c r="N60" s="44">
        <v>210931</v>
      </c>
      <c r="AQ60" s="42">
        <v>45846</v>
      </c>
      <c r="AR60" s="42">
        <v>45930</v>
      </c>
      <c r="AS60" s="3" t="s">
        <v>107</v>
      </c>
      <c r="AT60" s="3" t="s">
        <v>108</v>
      </c>
      <c r="AU60" s="43">
        <v>1554.9</v>
      </c>
      <c r="AV60" s="43">
        <v>1561.3</v>
      </c>
      <c r="AW60" s="43">
        <v>1550</v>
      </c>
      <c r="AX60" s="43">
        <v>1556.8</v>
      </c>
      <c r="AY60" s="43">
        <v>1558</v>
      </c>
      <c r="AZ60" s="43">
        <v>1556.8</v>
      </c>
      <c r="BA60" s="44">
        <v>169500</v>
      </c>
      <c r="BB60" s="43">
        <v>263362850</v>
      </c>
      <c r="BC60" s="43">
        <v>263362850</v>
      </c>
      <c r="BD60" s="44">
        <v>159500</v>
      </c>
      <c r="BE60" s="44">
        <v>-2000</v>
      </c>
    </row>
    <row r="61" spans="1:57" x14ac:dyDescent="0.3">
      <c r="A61" s="42">
        <v>45924</v>
      </c>
      <c r="B61" s="3" t="s">
        <v>106</v>
      </c>
      <c r="C61" s="43">
        <v>1385.3</v>
      </c>
      <c r="D61" s="43">
        <v>1396</v>
      </c>
      <c r="E61" s="43">
        <v>1380.4</v>
      </c>
      <c r="F61" s="43">
        <v>1389.8</v>
      </c>
      <c r="G61" s="43">
        <v>1381.1</v>
      </c>
      <c r="H61" s="43">
        <v>1383</v>
      </c>
      <c r="I61" s="43">
        <v>1387.32</v>
      </c>
      <c r="J61" s="43">
        <v>3066.95</v>
      </c>
      <c r="K61" s="43">
        <v>1114.8499999999999</v>
      </c>
      <c r="L61" s="44">
        <v>5922759</v>
      </c>
      <c r="M61" s="43">
        <v>8216778017.5</v>
      </c>
      <c r="N61" s="44">
        <v>120399</v>
      </c>
      <c r="AQ61" s="42">
        <v>45845</v>
      </c>
      <c r="AR61" s="42">
        <v>45930</v>
      </c>
      <c r="AS61" s="3" t="s">
        <v>107</v>
      </c>
      <c r="AT61" s="3" t="s">
        <v>108</v>
      </c>
      <c r="AU61" s="43">
        <v>1546.2</v>
      </c>
      <c r="AV61" s="43">
        <v>1559.2</v>
      </c>
      <c r="AW61" s="43">
        <v>1545</v>
      </c>
      <c r="AX61" s="43">
        <v>1555.6</v>
      </c>
      <c r="AY61" s="43">
        <v>1556.5</v>
      </c>
      <c r="AZ61" s="43">
        <v>1555.6</v>
      </c>
      <c r="BA61" s="44">
        <v>102000</v>
      </c>
      <c r="BB61" s="43">
        <v>158444550</v>
      </c>
      <c r="BC61" s="43">
        <v>158444550</v>
      </c>
      <c r="BD61" s="44">
        <v>161500</v>
      </c>
      <c r="BE61" s="44">
        <v>1000</v>
      </c>
    </row>
    <row r="62" spans="1:57" x14ac:dyDescent="0.3">
      <c r="A62" s="42">
        <v>45925</v>
      </c>
      <c r="B62" s="3" t="s">
        <v>106</v>
      </c>
      <c r="C62" s="43">
        <v>1381.3</v>
      </c>
      <c r="D62" s="43">
        <v>1384.5</v>
      </c>
      <c r="E62" s="43">
        <v>1369</v>
      </c>
      <c r="F62" s="43">
        <v>1383</v>
      </c>
      <c r="G62" s="43">
        <v>1374.8</v>
      </c>
      <c r="H62" s="43">
        <v>1372.4</v>
      </c>
      <c r="I62" s="43">
        <v>1375.53</v>
      </c>
      <c r="J62" s="43">
        <v>3066.95</v>
      </c>
      <c r="K62" s="43">
        <v>1114.8499999999999</v>
      </c>
      <c r="L62" s="44">
        <v>11411143</v>
      </c>
      <c r="M62" s="43">
        <v>15696373894</v>
      </c>
      <c r="N62" s="44">
        <v>155102</v>
      </c>
      <c r="AQ62" s="42">
        <v>45842</v>
      </c>
      <c r="AR62" s="42">
        <v>45930</v>
      </c>
      <c r="AS62" s="3" t="s">
        <v>107</v>
      </c>
      <c r="AT62" s="3" t="s">
        <v>108</v>
      </c>
      <c r="AU62" s="43">
        <v>1537.8</v>
      </c>
      <c r="AV62" s="43">
        <v>1544.1</v>
      </c>
      <c r="AW62" s="43">
        <v>1535</v>
      </c>
      <c r="AX62" s="43">
        <v>1543.3</v>
      </c>
      <c r="AY62" s="43">
        <v>1543</v>
      </c>
      <c r="AZ62" s="43">
        <v>1543.3</v>
      </c>
      <c r="BA62" s="44">
        <v>41500</v>
      </c>
      <c r="BB62" s="43">
        <v>63884600</v>
      </c>
      <c r="BC62" s="43">
        <v>63884600</v>
      </c>
      <c r="BD62" s="44">
        <v>160500</v>
      </c>
      <c r="BE62" s="44">
        <v>3000</v>
      </c>
    </row>
    <row r="63" spans="1:57" x14ac:dyDescent="0.3">
      <c r="A63" s="42">
        <v>45926</v>
      </c>
      <c r="B63" s="3" t="s">
        <v>106</v>
      </c>
      <c r="C63" s="43">
        <v>1372</v>
      </c>
      <c r="D63" s="43">
        <v>1382.7</v>
      </c>
      <c r="E63" s="43">
        <v>1366</v>
      </c>
      <c r="F63" s="43">
        <v>1372.4</v>
      </c>
      <c r="G63" s="43">
        <v>1379</v>
      </c>
      <c r="H63" s="43">
        <v>1377.6</v>
      </c>
      <c r="I63" s="43">
        <v>1376.37</v>
      </c>
      <c r="J63" s="43">
        <v>3066.95</v>
      </c>
      <c r="K63" s="43">
        <v>1114.8499999999999</v>
      </c>
      <c r="L63" s="44">
        <v>9879109</v>
      </c>
      <c r="M63" s="43">
        <v>13597342647</v>
      </c>
      <c r="N63" s="44">
        <v>148644</v>
      </c>
      <c r="AQ63" s="42">
        <v>45841</v>
      </c>
      <c r="AR63" s="42">
        <v>45930</v>
      </c>
      <c r="AS63" s="3" t="s">
        <v>107</v>
      </c>
      <c r="AT63" s="3" t="s">
        <v>108</v>
      </c>
      <c r="AU63" s="43">
        <v>1534.2</v>
      </c>
      <c r="AV63" s="43">
        <v>1547</v>
      </c>
      <c r="AW63" s="43">
        <v>1534.2</v>
      </c>
      <c r="AX63" s="43">
        <v>1537.8</v>
      </c>
      <c r="AY63" s="43">
        <v>1536.4</v>
      </c>
      <c r="AZ63" s="43">
        <v>1537.8</v>
      </c>
      <c r="BA63" s="44">
        <v>68000</v>
      </c>
      <c r="BB63" s="43">
        <v>104899950</v>
      </c>
      <c r="BC63" s="43">
        <v>104899950</v>
      </c>
      <c r="BD63" s="44">
        <v>157500</v>
      </c>
      <c r="BE63" s="44">
        <v>9500</v>
      </c>
    </row>
    <row r="64" spans="1:57" x14ac:dyDescent="0.3">
      <c r="A64" s="42">
        <v>45929</v>
      </c>
      <c r="B64" s="3" t="s">
        <v>106</v>
      </c>
      <c r="C64" s="43">
        <v>1381.6</v>
      </c>
      <c r="D64" s="43">
        <v>1389</v>
      </c>
      <c r="E64" s="43">
        <v>1368</v>
      </c>
      <c r="F64" s="43">
        <v>1377.6</v>
      </c>
      <c r="G64" s="43">
        <v>1376</v>
      </c>
      <c r="H64" s="43">
        <v>1372.8</v>
      </c>
      <c r="I64" s="43">
        <v>1375.78</v>
      </c>
      <c r="J64" s="43">
        <v>3049.95</v>
      </c>
      <c r="K64" s="43">
        <v>1114.8499999999999</v>
      </c>
      <c r="L64" s="44">
        <v>14231999</v>
      </c>
      <c r="M64" s="43">
        <v>19580110793.700001</v>
      </c>
      <c r="N64" s="44">
        <v>213268</v>
      </c>
      <c r="AQ64" s="42">
        <v>45840</v>
      </c>
      <c r="AR64" s="42">
        <v>45930</v>
      </c>
      <c r="AS64" s="3" t="s">
        <v>107</v>
      </c>
      <c r="AT64" s="3" t="s">
        <v>108</v>
      </c>
      <c r="AU64" s="43">
        <v>1544.5</v>
      </c>
      <c r="AV64" s="43">
        <v>1544.7</v>
      </c>
      <c r="AW64" s="43">
        <v>1529.6</v>
      </c>
      <c r="AX64" s="43">
        <v>1536</v>
      </c>
      <c r="AY64" s="43">
        <v>1535</v>
      </c>
      <c r="AZ64" s="43">
        <v>1536</v>
      </c>
      <c r="BA64" s="44">
        <v>87500</v>
      </c>
      <c r="BB64" s="43">
        <v>134376900</v>
      </c>
      <c r="BC64" s="43">
        <v>134376900</v>
      </c>
      <c r="BD64" s="44">
        <v>148000</v>
      </c>
      <c r="BE64" s="44">
        <v>8500</v>
      </c>
    </row>
    <row r="65" spans="1:57" x14ac:dyDescent="0.3">
      <c r="A65" s="42">
        <v>45930</v>
      </c>
      <c r="B65" s="3" t="s">
        <v>106</v>
      </c>
      <c r="C65" s="43">
        <v>1377.1</v>
      </c>
      <c r="D65" s="43">
        <v>1377.1</v>
      </c>
      <c r="E65" s="43">
        <v>1362.8</v>
      </c>
      <c r="F65" s="43">
        <v>1372.8</v>
      </c>
      <c r="G65" s="43">
        <v>1364</v>
      </c>
      <c r="H65" s="43">
        <v>1364</v>
      </c>
      <c r="I65" s="43">
        <v>1366.52</v>
      </c>
      <c r="J65" s="43">
        <v>3049.95</v>
      </c>
      <c r="K65" s="43">
        <v>1114.8499999999999</v>
      </c>
      <c r="L65" s="44">
        <v>14604684</v>
      </c>
      <c r="M65" s="43">
        <v>19957582304.900002</v>
      </c>
      <c r="N65" s="44">
        <v>223375</v>
      </c>
      <c r="AQ65" s="42">
        <v>45839</v>
      </c>
      <c r="AR65" s="42">
        <v>45930</v>
      </c>
      <c r="AS65" s="3" t="s">
        <v>107</v>
      </c>
      <c r="AT65" s="3" t="s">
        <v>108</v>
      </c>
      <c r="AU65" s="43">
        <v>1526.6</v>
      </c>
      <c r="AV65" s="43">
        <v>1547.6</v>
      </c>
      <c r="AW65" s="43">
        <v>1523.8</v>
      </c>
      <c r="AX65" s="43">
        <v>1544.4</v>
      </c>
      <c r="AY65" s="43">
        <v>1544</v>
      </c>
      <c r="AZ65" s="43">
        <v>1544.4</v>
      </c>
      <c r="BA65" s="44">
        <v>130000</v>
      </c>
      <c r="BB65" s="43">
        <v>200063600</v>
      </c>
      <c r="BC65" s="43">
        <v>200063600</v>
      </c>
      <c r="BD65" s="44">
        <v>139500</v>
      </c>
      <c r="BE65" s="44">
        <v>-5500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E65"/>
  <sheetViews>
    <sheetView tabSelected="1" workbookViewId="0"/>
  </sheetViews>
  <sheetFormatPr defaultColWidth="14.44140625" defaultRowHeight="15" customHeight="1" x14ac:dyDescent="0.3"/>
  <cols>
    <col min="13" max="13" width="19.109375" customWidth="1"/>
    <col min="24" max="24" width="19.109375" customWidth="1"/>
    <col min="25" max="25" width="20.5546875" customWidth="1"/>
  </cols>
  <sheetData>
    <row r="1" spans="1:57" x14ac:dyDescent="0.3">
      <c r="A1" s="45" t="s">
        <v>39</v>
      </c>
      <c r="B1" s="45" t="s">
        <v>109</v>
      </c>
      <c r="C1" s="45" t="s">
        <v>110</v>
      </c>
      <c r="D1" s="45" t="s">
        <v>111</v>
      </c>
      <c r="E1" s="45" t="s">
        <v>112</v>
      </c>
      <c r="F1" s="45" t="s">
        <v>113</v>
      </c>
      <c r="G1" s="45" t="s">
        <v>114</v>
      </c>
      <c r="H1" s="45" t="s">
        <v>115</v>
      </c>
      <c r="I1" s="45" t="s">
        <v>116</v>
      </c>
      <c r="J1" s="45" t="s">
        <v>117</v>
      </c>
      <c r="K1" s="45" t="s">
        <v>118</v>
      </c>
      <c r="L1" s="45" t="s">
        <v>119</v>
      </c>
      <c r="M1" s="45" t="s">
        <v>120</v>
      </c>
      <c r="N1" s="45" t="s">
        <v>121</v>
      </c>
      <c r="O1" s="45" t="s">
        <v>122</v>
      </c>
      <c r="P1" s="45" t="s">
        <v>123</v>
      </c>
      <c r="Q1" s="45" t="s">
        <v>124</v>
      </c>
      <c r="R1" s="45" t="s">
        <v>125</v>
      </c>
      <c r="S1" s="45" t="s">
        <v>126</v>
      </c>
      <c r="T1" s="45" t="s">
        <v>127</v>
      </c>
      <c r="U1" s="45" t="s">
        <v>128</v>
      </c>
      <c r="V1" s="45" t="s">
        <v>129</v>
      </c>
      <c r="W1" s="45" t="s">
        <v>130</v>
      </c>
      <c r="X1" s="45" t="s">
        <v>120</v>
      </c>
      <c r="Y1" s="45" t="s">
        <v>131</v>
      </c>
      <c r="Z1" s="45" t="s">
        <v>132</v>
      </c>
      <c r="AA1" s="45" t="s">
        <v>133</v>
      </c>
      <c r="AB1" s="45" t="s">
        <v>122</v>
      </c>
      <c r="AC1" s="45" t="s">
        <v>123</v>
      </c>
      <c r="AD1" s="45" t="s">
        <v>134</v>
      </c>
      <c r="AE1" s="45" t="s">
        <v>135</v>
      </c>
      <c r="AF1" s="45" t="s">
        <v>124</v>
      </c>
      <c r="AG1" s="45" t="s">
        <v>125</v>
      </c>
      <c r="AH1" s="45" t="s">
        <v>126</v>
      </c>
      <c r="AI1" s="45" t="s">
        <v>127</v>
      </c>
      <c r="AJ1" s="45" t="s">
        <v>128</v>
      </c>
      <c r="AK1" s="45" t="s">
        <v>129</v>
      </c>
      <c r="AL1" s="45" t="s">
        <v>130</v>
      </c>
      <c r="AM1" s="45" t="s">
        <v>120</v>
      </c>
      <c r="AN1" s="45" t="s">
        <v>131</v>
      </c>
      <c r="AO1" s="45" t="s">
        <v>132</v>
      </c>
      <c r="AP1" s="45" t="s">
        <v>133</v>
      </c>
      <c r="AQ1" s="45" t="s">
        <v>122</v>
      </c>
      <c r="AR1" s="45" t="s">
        <v>123</v>
      </c>
      <c r="AS1" s="45" t="s">
        <v>134</v>
      </c>
      <c r="AT1" s="45" t="s">
        <v>135</v>
      </c>
      <c r="AU1" s="45" t="s">
        <v>124</v>
      </c>
      <c r="AV1" s="45" t="s">
        <v>125</v>
      </c>
      <c r="AW1" s="45" t="s">
        <v>126</v>
      </c>
      <c r="AX1" s="45" t="s">
        <v>127</v>
      </c>
      <c r="AY1" s="45" t="s">
        <v>128</v>
      </c>
      <c r="AZ1" s="45" t="s">
        <v>129</v>
      </c>
      <c r="BA1" s="45" t="s">
        <v>130</v>
      </c>
      <c r="BB1" s="45" t="s">
        <v>120</v>
      </c>
      <c r="BC1" s="45" t="s">
        <v>131</v>
      </c>
      <c r="BD1" s="45" t="s">
        <v>132</v>
      </c>
      <c r="BE1" s="45" t="s">
        <v>133</v>
      </c>
    </row>
    <row r="2" spans="1:57" x14ac:dyDescent="0.3">
      <c r="A2" s="46">
        <v>45930</v>
      </c>
      <c r="B2" s="47" t="s">
        <v>106</v>
      </c>
      <c r="C2" s="48">
        <v>2522</v>
      </c>
      <c r="D2" s="48">
        <v>2535</v>
      </c>
      <c r="E2" s="48">
        <v>2490.6</v>
      </c>
      <c r="F2" s="48">
        <v>2509.5</v>
      </c>
      <c r="G2" s="48">
        <v>2509</v>
      </c>
      <c r="H2" s="48">
        <v>2505.9</v>
      </c>
      <c r="I2" s="48">
        <v>2512.9699999999998</v>
      </c>
      <c r="J2" s="48">
        <v>3211</v>
      </c>
      <c r="K2" s="48">
        <v>2025</v>
      </c>
      <c r="L2" s="49" t="s">
        <v>136</v>
      </c>
      <c r="M2" s="49" t="s">
        <v>137</v>
      </c>
      <c r="N2" s="50">
        <v>38461</v>
      </c>
      <c r="O2" s="46">
        <v>45869</v>
      </c>
      <c r="P2" s="46">
        <v>45869</v>
      </c>
      <c r="Q2" s="48">
        <v>2505</v>
      </c>
      <c r="R2" s="48">
        <v>2519.8000000000002</v>
      </c>
      <c r="S2" s="48">
        <v>2418.6999999999998</v>
      </c>
      <c r="T2" s="48">
        <v>2425.6</v>
      </c>
      <c r="U2" s="48">
        <v>2424.9</v>
      </c>
      <c r="V2" s="48">
        <v>2430.6999999999998</v>
      </c>
      <c r="W2" s="48" t="s">
        <v>138</v>
      </c>
      <c r="X2" s="48" t="s">
        <v>139</v>
      </c>
      <c r="Y2" s="49" t="s">
        <v>139</v>
      </c>
      <c r="Z2" s="49" t="s">
        <v>140</v>
      </c>
      <c r="AA2" s="49" t="s">
        <v>141</v>
      </c>
      <c r="AB2" s="46">
        <v>45897</v>
      </c>
      <c r="AC2" s="46">
        <v>45897</v>
      </c>
      <c r="AD2" s="47" t="s">
        <v>107</v>
      </c>
      <c r="AE2" s="47" t="s">
        <v>108</v>
      </c>
      <c r="AF2" s="48">
        <v>2240</v>
      </c>
      <c r="AG2" s="48">
        <v>2325</v>
      </c>
      <c r="AH2" s="48">
        <v>2223.9</v>
      </c>
      <c r="AI2" s="48">
        <v>2273.4</v>
      </c>
      <c r="AJ2" s="48">
        <v>2278</v>
      </c>
      <c r="AK2" s="48">
        <v>2275.1</v>
      </c>
      <c r="AL2" s="48" t="s">
        <v>142</v>
      </c>
      <c r="AM2" s="48" t="s">
        <v>143</v>
      </c>
      <c r="AN2" s="49" t="s">
        <v>143</v>
      </c>
      <c r="AO2" s="49" t="s">
        <v>144</v>
      </c>
      <c r="AP2" s="49" t="s">
        <v>145</v>
      </c>
      <c r="AQ2" s="46">
        <v>45930</v>
      </c>
      <c r="AR2" s="46">
        <v>45930</v>
      </c>
      <c r="AS2" s="47" t="s">
        <v>107</v>
      </c>
      <c r="AT2" s="47" t="s">
        <v>108</v>
      </c>
      <c r="AU2" s="48">
        <v>2520.1999999999998</v>
      </c>
      <c r="AV2" s="48">
        <v>2538.8000000000002</v>
      </c>
      <c r="AW2" s="48">
        <v>2490.4</v>
      </c>
      <c r="AX2" s="48">
        <v>2503.4</v>
      </c>
      <c r="AY2" s="48">
        <v>2511</v>
      </c>
      <c r="AZ2" s="48">
        <v>2505.9</v>
      </c>
      <c r="BA2" s="49" t="s">
        <v>146</v>
      </c>
      <c r="BB2" s="49" t="s">
        <v>147</v>
      </c>
      <c r="BC2" s="49" t="s">
        <v>147</v>
      </c>
      <c r="BD2" s="49" t="s">
        <v>148</v>
      </c>
      <c r="BE2" s="49" t="s">
        <v>149</v>
      </c>
    </row>
    <row r="3" spans="1:57" x14ac:dyDescent="0.3">
      <c r="A3" s="46">
        <v>45929</v>
      </c>
      <c r="B3" s="47" t="s">
        <v>106</v>
      </c>
      <c r="C3" s="48">
        <v>2543.6999999999998</v>
      </c>
      <c r="D3" s="48">
        <v>2555</v>
      </c>
      <c r="E3" s="48">
        <v>2505</v>
      </c>
      <c r="F3" s="48">
        <v>2543.6999999999998</v>
      </c>
      <c r="G3" s="48">
        <v>2521</v>
      </c>
      <c r="H3" s="48">
        <v>2509.5</v>
      </c>
      <c r="I3" s="48">
        <v>2528.21</v>
      </c>
      <c r="J3" s="48">
        <v>3211</v>
      </c>
      <c r="K3" s="48">
        <v>2025</v>
      </c>
      <c r="L3" s="49" t="s">
        <v>150</v>
      </c>
      <c r="M3" s="49" t="s">
        <v>151</v>
      </c>
      <c r="N3" s="50">
        <v>48219</v>
      </c>
      <c r="O3" s="46">
        <v>45868</v>
      </c>
      <c r="P3" s="46">
        <v>45869</v>
      </c>
      <c r="Q3" s="48">
        <v>2548.6999999999998</v>
      </c>
      <c r="R3" s="48">
        <v>2552.5</v>
      </c>
      <c r="S3" s="48">
        <v>2524.4</v>
      </c>
      <c r="T3" s="48">
        <v>2531.9</v>
      </c>
      <c r="U3" s="48">
        <v>2531.6999999999998</v>
      </c>
      <c r="V3" s="48">
        <v>2531.9</v>
      </c>
      <c r="W3" s="48" t="s">
        <v>152</v>
      </c>
      <c r="X3" s="48" t="s">
        <v>153</v>
      </c>
      <c r="Y3" s="49" t="s">
        <v>153</v>
      </c>
      <c r="Z3" s="49" t="s">
        <v>154</v>
      </c>
      <c r="AA3" s="49" t="s">
        <v>155</v>
      </c>
      <c r="AB3" s="46">
        <v>45895</v>
      </c>
      <c r="AC3" s="46">
        <v>45897</v>
      </c>
      <c r="AD3" s="47" t="s">
        <v>107</v>
      </c>
      <c r="AE3" s="47" t="s">
        <v>108</v>
      </c>
      <c r="AF3" s="48">
        <v>2281.6</v>
      </c>
      <c r="AG3" s="48">
        <v>2300.4</v>
      </c>
      <c r="AH3" s="48">
        <v>2247.1</v>
      </c>
      <c r="AI3" s="48">
        <v>2270.6</v>
      </c>
      <c r="AJ3" s="48">
        <v>2298</v>
      </c>
      <c r="AK3" s="48">
        <v>2270.6</v>
      </c>
      <c r="AL3" s="48" t="s">
        <v>156</v>
      </c>
      <c r="AM3" s="48" t="s">
        <v>157</v>
      </c>
      <c r="AN3" s="49" t="s">
        <v>157</v>
      </c>
      <c r="AO3" s="49" t="s">
        <v>158</v>
      </c>
      <c r="AP3" s="49" t="s">
        <v>159</v>
      </c>
      <c r="AQ3" s="46">
        <v>45929</v>
      </c>
      <c r="AR3" s="46">
        <v>45930</v>
      </c>
      <c r="AS3" s="47" t="s">
        <v>107</v>
      </c>
      <c r="AT3" s="47" t="s">
        <v>108</v>
      </c>
      <c r="AU3" s="48">
        <v>2548.6</v>
      </c>
      <c r="AV3" s="48">
        <v>2558.1</v>
      </c>
      <c r="AW3" s="48">
        <v>2511.1</v>
      </c>
      <c r="AX3" s="48">
        <v>2516</v>
      </c>
      <c r="AY3" s="48">
        <v>2519.6</v>
      </c>
      <c r="AZ3" s="48">
        <v>2516</v>
      </c>
      <c r="BA3" s="49" t="s">
        <v>160</v>
      </c>
      <c r="BB3" s="49" t="s">
        <v>161</v>
      </c>
      <c r="BC3" s="49" t="s">
        <v>161</v>
      </c>
      <c r="BD3" s="49" t="s">
        <v>162</v>
      </c>
      <c r="BE3" s="49" t="s">
        <v>163</v>
      </c>
    </row>
    <row r="4" spans="1:57" x14ac:dyDescent="0.3">
      <c r="A4" s="46">
        <v>45926</v>
      </c>
      <c r="B4" s="47" t="s">
        <v>106</v>
      </c>
      <c r="C4" s="48">
        <v>2572.8000000000002</v>
      </c>
      <c r="D4" s="48">
        <v>2605</v>
      </c>
      <c r="E4" s="48">
        <v>2535</v>
      </c>
      <c r="F4" s="48">
        <v>2576.4</v>
      </c>
      <c r="G4" s="48">
        <v>2535.6</v>
      </c>
      <c r="H4" s="48">
        <v>2543.6999999999998</v>
      </c>
      <c r="I4" s="48">
        <v>2570.86</v>
      </c>
      <c r="J4" s="48">
        <v>3211</v>
      </c>
      <c r="K4" s="48">
        <v>2025</v>
      </c>
      <c r="L4" s="49" t="s">
        <v>164</v>
      </c>
      <c r="M4" s="49" t="s">
        <v>165</v>
      </c>
      <c r="N4" s="50">
        <v>46432</v>
      </c>
      <c r="O4" s="46">
        <v>45867</v>
      </c>
      <c r="P4" s="46">
        <v>45869</v>
      </c>
      <c r="Q4" s="48">
        <v>2525.5</v>
      </c>
      <c r="R4" s="48">
        <v>2561.1</v>
      </c>
      <c r="S4" s="48">
        <v>2505.6999999999998</v>
      </c>
      <c r="T4" s="48">
        <v>2552.4</v>
      </c>
      <c r="U4" s="48">
        <v>2551.1</v>
      </c>
      <c r="V4" s="48">
        <v>2552.4</v>
      </c>
      <c r="W4" s="48" t="s">
        <v>166</v>
      </c>
      <c r="X4" s="48" t="s">
        <v>167</v>
      </c>
      <c r="Y4" s="49" t="s">
        <v>167</v>
      </c>
      <c r="Z4" s="49" t="s">
        <v>168</v>
      </c>
      <c r="AA4" s="49" t="s">
        <v>169</v>
      </c>
      <c r="AB4" s="46">
        <v>45894</v>
      </c>
      <c r="AC4" s="46">
        <v>45897</v>
      </c>
      <c r="AD4" s="47" t="s">
        <v>107</v>
      </c>
      <c r="AE4" s="47" t="s">
        <v>108</v>
      </c>
      <c r="AF4" s="48">
        <v>2350</v>
      </c>
      <c r="AG4" s="48">
        <v>2350</v>
      </c>
      <c r="AH4" s="48">
        <v>2298.3000000000002</v>
      </c>
      <c r="AI4" s="48">
        <v>2301.6999999999998</v>
      </c>
      <c r="AJ4" s="48">
        <v>2301.6</v>
      </c>
      <c r="AK4" s="48">
        <v>2301.6999999999998</v>
      </c>
      <c r="AL4" s="48" t="s">
        <v>170</v>
      </c>
      <c r="AM4" s="48" t="s">
        <v>171</v>
      </c>
      <c r="AN4" s="49" t="s">
        <v>171</v>
      </c>
      <c r="AO4" s="49" t="s">
        <v>172</v>
      </c>
      <c r="AP4" s="49" t="s">
        <v>173</v>
      </c>
      <c r="AQ4" s="46">
        <v>45926</v>
      </c>
      <c r="AR4" s="46">
        <v>45930</v>
      </c>
      <c r="AS4" s="47" t="s">
        <v>107</v>
      </c>
      <c r="AT4" s="47" t="s">
        <v>108</v>
      </c>
      <c r="AU4" s="48">
        <v>2580.1</v>
      </c>
      <c r="AV4" s="48">
        <v>2612.6</v>
      </c>
      <c r="AW4" s="48">
        <v>2537.4</v>
      </c>
      <c r="AX4" s="48">
        <v>2544.4</v>
      </c>
      <c r="AY4" s="48">
        <v>2540.6999999999998</v>
      </c>
      <c r="AZ4" s="48">
        <v>2544.4</v>
      </c>
      <c r="BA4" s="49" t="s">
        <v>174</v>
      </c>
      <c r="BB4" s="49" t="s">
        <v>175</v>
      </c>
      <c r="BC4" s="49" t="s">
        <v>175</v>
      </c>
      <c r="BD4" s="49" t="s">
        <v>176</v>
      </c>
      <c r="BE4" s="49" t="s">
        <v>177</v>
      </c>
    </row>
    <row r="5" spans="1:57" x14ac:dyDescent="0.3">
      <c r="A5" s="46">
        <v>45925</v>
      </c>
      <c r="B5" s="47" t="s">
        <v>106</v>
      </c>
      <c r="C5" s="48">
        <v>2625</v>
      </c>
      <c r="D5" s="48">
        <v>2647.9</v>
      </c>
      <c r="E5" s="48">
        <v>2567</v>
      </c>
      <c r="F5" s="48">
        <v>2619.8000000000002</v>
      </c>
      <c r="G5" s="48">
        <v>2573.3000000000002</v>
      </c>
      <c r="H5" s="48">
        <v>2576.4</v>
      </c>
      <c r="I5" s="48">
        <v>2608.3200000000002</v>
      </c>
      <c r="J5" s="48">
        <v>3211</v>
      </c>
      <c r="K5" s="48">
        <v>2025</v>
      </c>
      <c r="L5" s="49" t="s">
        <v>178</v>
      </c>
      <c r="M5" s="49" t="s">
        <v>179</v>
      </c>
      <c r="N5" s="50">
        <v>50400</v>
      </c>
      <c r="O5" s="46">
        <v>45866</v>
      </c>
      <c r="P5" s="46">
        <v>45869</v>
      </c>
      <c r="Q5" s="48">
        <v>2554.4</v>
      </c>
      <c r="R5" s="48">
        <v>2589</v>
      </c>
      <c r="S5" s="48">
        <v>2513.8000000000002</v>
      </c>
      <c r="T5" s="48">
        <v>2524.6999999999998</v>
      </c>
      <c r="U5" s="48">
        <v>2526</v>
      </c>
      <c r="V5" s="48">
        <v>2524.6999999999998</v>
      </c>
      <c r="W5" s="48" t="s">
        <v>180</v>
      </c>
      <c r="X5" s="48" t="s">
        <v>181</v>
      </c>
      <c r="Y5" s="49" t="s">
        <v>181</v>
      </c>
      <c r="Z5" s="49" t="s">
        <v>182</v>
      </c>
      <c r="AA5" s="49" t="s">
        <v>183</v>
      </c>
      <c r="AB5" s="46">
        <v>45891</v>
      </c>
      <c r="AC5" s="46">
        <v>45897</v>
      </c>
      <c r="AD5" s="47" t="s">
        <v>107</v>
      </c>
      <c r="AE5" s="47" t="s">
        <v>108</v>
      </c>
      <c r="AF5" s="48">
        <v>2369.4</v>
      </c>
      <c r="AG5" s="48">
        <v>2377.5</v>
      </c>
      <c r="AH5" s="48">
        <v>2320.5</v>
      </c>
      <c r="AI5" s="48">
        <v>2323.6</v>
      </c>
      <c r="AJ5" s="48">
        <v>2327.4</v>
      </c>
      <c r="AK5" s="48">
        <v>2323.6</v>
      </c>
      <c r="AL5" s="48" t="s">
        <v>184</v>
      </c>
      <c r="AM5" s="48" t="s">
        <v>185</v>
      </c>
      <c r="AN5" s="49" t="s">
        <v>185</v>
      </c>
      <c r="AO5" s="49" t="s">
        <v>186</v>
      </c>
      <c r="AP5" s="49" t="s">
        <v>187</v>
      </c>
      <c r="AQ5" s="46">
        <v>45925</v>
      </c>
      <c r="AR5" s="46">
        <v>45930</v>
      </c>
      <c r="AS5" s="47" t="s">
        <v>107</v>
      </c>
      <c r="AT5" s="47" t="s">
        <v>108</v>
      </c>
      <c r="AU5" s="48">
        <v>2621.7</v>
      </c>
      <c r="AV5" s="48">
        <v>2654</v>
      </c>
      <c r="AW5" s="48">
        <v>2576.3000000000002</v>
      </c>
      <c r="AX5" s="48">
        <v>2586</v>
      </c>
      <c r="AY5" s="48">
        <v>2581.9</v>
      </c>
      <c r="AZ5" s="48">
        <v>2586</v>
      </c>
      <c r="BA5" s="49" t="s">
        <v>188</v>
      </c>
      <c r="BB5" s="49" t="s">
        <v>189</v>
      </c>
      <c r="BC5" s="49" t="s">
        <v>189</v>
      </c>
      <c r="BD5" s="49" t="s">
        <v>190</v>
      </c>
      <c r="BE5" s="49" t="s">
        <v>191</v>
      </c>
    </row>
    <row r="6" spans="1:57" x14ac:dyDescent="0.3">
      <c r="A6" s="46">
        <v>45924</v>
      </c>
      <c r="B6" s="47" t="s">
        <v>106</v>
      </c>
      <c r="C6" s="48">
        <v>2655</v>
      </c>
      <c r="D6" s="48">
        <v>2676</v>
      </c>
      <c r="E6" s="48">
        <v>2614.4</v>
      </c>
      <c r="F6" s="48">
        <v>2676.4</v>
      </c>
      <c r="G6" s="48">
        <v>2624</v>
      </c>
      <c r="H6" s="48">
        <v>2619.8000000000002</v>
      </c>
      <c r="I6" s="48">
        <v>2647.88</v>
      </c>
      <c r="J6" s="48">
        <v>3211</v>
      </c>
      <c r="K6" s="48">
        <v>2025</v>
      </c>
      <c r="L6" s="49" t="s">
        <v>192</v>
      </c>
      <c r="M6" s="49" t="s">
        <v>193</v>
      </c>
      <c r="N6" s="50">
        <v>60770</v>
      </c>
      <c r="O6" s="46">
        <v>45863</v>
      </c>
      <c r="P6" s="46">
        <v>45869</v>
      </c>
      <c r="Q6" s="48">
        <v>2606.3000000000002</v>
      </c>
      <c r="R6" s="48">
        <v>2623.9</v>
      </c>
      <c r="S6" s="48">
        <v>2543.6999999999998</v>
      </c>
      <c r="T6" s="48">
        <v>2550.1</v>
      </c>
      <c r="U6" s="48">
        <v>2550</v>
      </c>
      <c r="V6" s="48">
        <v>2550.1</v>
      </c>
      <c r="W6" s="48" t="s">
        <v>194</v>
      </c>
      <c r="X6" s="48" t="s">
        <v>195</v>
      </c>
      <c r="Y6" s="49" t="s">
        <v>195</v>
      </c>
      <c r="Z6" s="49" t="s">
        <v>196</v>
      </c>
      <c r="AA6" s="49" t="s">
        <v>197</v>
      </c>
      <c r="AB6" s="46">
        <v>45890</v>
      </c>
      <c r="AC6" s="46">
        <v>45897</v>
      </c>
      <c r="AD6" s="47" t="s">
        <v>107</v>
      </c>
      <c r="AE6" s="47" t="s">
        <v>108</v>
      </c>
      <c r="AF6" s="48">
        <v>2384.6</v>
      </c>
      <c r="AG6" s="48">
        <v>2397</v>
      </c>
      <c r="AH6" s="48">
        <v>2373.1</v>
      </c>
      <c r="AI6" s="48">
        <v>2378.1999999999998</v>
      </c>
      <c r="AJ6" s="48">
        <v>2378.4</v>
      </c>
      <c r="AK6" s="48">
        <v>2378.1999999999998</v>
      </c>
      <c r="AL6" s="48" t="s">
        <v>198</v>
      </c>
      <c r="AM6" s="48" t="s">
        <v>199</v>
      </c>
      <c r="AN6" s="49" t="s">
        <v>199</v>
      </c>
      <c r="AO6" s="49" t="s">
        <v>200</v>
      </c>
      <c r="AP6" s="49" t="s">
        <v>201</v>
      </c>
      <c r="AQ6" s="46">
        <v>45924</v>
      </c>
      <c r="AR6" s="46">
        <v>45930</v>
      </c>
      <c r="AS6" s="47" t="s">
        <v>107</v>
      </c>
      <c r="AT6" s="47" t="s">
        <v>108</v>
      </c>
      <c r="AU6" s="48">
        <v>2661</v>
      </c>
      <c r="AV6" s="48">
        <v>2684.5</v>
      </c>
      <c r="AW6" s="48">
        <v>2623.7</v>
      </c>
      <c r="AX6" s="48">
        <v>2628.7</v>
      </c>
      <c r="AY6" s="48">
        <v>2630.2</v>
      </c>
      <c r="AZ6" s="48">
        <v>2628.7</v>
      </c>
      <c r="BA6" s="49" t="s">
        <v>202</v>
      </c>
      <c r="BB6" s="49" t="s">
        <v>203</v>
      </c>
      <c r="BC6" s="49" t="s">
        <v>203</v>
      </c>
      <c r="BD6" s="49" t="s">
        <v>204</v>
      </c>
      <c r="BE6" s="49" t="s">
        <v>205</v>
      </c>
    </row>
    <row r="7" spans="1:57" x14ac:dyDescent="0.3">
      <c r="A7" s="46">
        <v>45923</v>
      </c>
      <c r="B7" s="47" t="s">
        <v>106</v>
      </c>
      <c r="C7" s="48">
        <v>2642.6</v>
      </c>
      <c r="D7" s="48">
        <v>2695</v>
      </c>
      <c r="E7" s="48">
        <v>2593</v>
      </c>
      <c r="F7" s="48">
        <v>2629.5</v>
      </c>
      <c r="G7" s="48">
        <v>2666</v>
      </c>
      <c r="H7" s="48">
        <v>2676.4</v>
      </c>
      <c r="I7" s="48">
        <v>2665.79</v>
      </c>
      <c r="J7" s="48">
        <v>3211</v>
      </c>
      <c r="K7" s="48">
        <v>2025</v>
      </c>
      <c r="L7" s="49" t="s">
        <v>206</v>
      </c>
      <c r="M7" s="49" t="s">
        <v>207</v>
      </c>
      <c r="N7" s="49" t="s">
        <v>208</v>
      </c>
      <c r="O7" s="46">
        <v>45862</v>
      </c>
      <c r="P7" s="46">
        <v>45869</v>
      </c>
      <c r="Q7" s="48">
        <v>2615.1</v>
      </c>
      <c r="R7" s="48">
        <v>2632.6</v>
      </c>
      <c r="S7" s="48">
        <v>2600</v>
      </c>
      <c r="T7" s="48">
        <v>2613.1</v>
      </c>
      <c r="U7" s="48">
        <v>2612.9</v>
      </c>
      <c r="V7" s="48">
        <v>2613.1</v>
      </c>
      <c r="W7" s="48" t="s">
        <v>209</v>
      </c>
      <c r="X7" s="48" t="s">
        <v>210</v>
      </c>
      <c r="Y7" s="49" t="s">
        <v>210</v>
      </c>
      <c r="Z7" s="49" t="s">
        <v>211</v>
      </c>
      <c r="AA7" s="49" t="s">
        <v>212</v>
      </c>
      <c r="AB7" s="46">
        <v>45889</v>
      </c>
      <c r="AC7" s="46">
        <v>45897</v>
      </c>
      <c r="AD7" s="47" t="s">
        <v>107</v>
      </c>
      <c r="AE7" s="47" t="s">
        <v>108</v>
      </c>
      <c r="AF7" s="48">
        <v>2381.5</v>
      </c>
      <c r="AG7" s="48">
        <v>2406.6999999999998</v>
      </c>
      <c r="AH7" s="48">
        <v>2375.6</v>
      </c>
      <c r="AI7" s="48">
        <v>2386.4</v>
      </c>
      <c r="AJ7" s="48">
        <v>2382.5</v>
      </c>
      <c r="AK7" s="48">
        <v>2386.4</v>
      </c>
      <c r="AL7" s="48" t="s">
        <v>213</v>
      </c>
      <c r="AM7" s="48" t="s">
        <v>214</v>
      </c>
      <c r="AN7" s="49" t="s">
        <v>214</v>
      </c>
      <c r="AO7" s="49" t="s">
        <v>215</v>
      </c>
      <c r="AP7" s="49" t="s">
        <v>216</v>
      </c>
      <c r="AQ7" s="46">
        <v>45923</v>
      </c>
      <c r="AR7" s="46">
        <v>45930</v>
      </c>
      <c r="AS7" s="47" t="s">
        <v>107</v>
      </c>
      <c r="AT7" s="47" t="s">
        <v>108</v>
      </c>
      <c r="AU7" s="48">
        <v>2643.9</v>
      </c>
      <c r="AV7" s="48">
        <v>2697</v>
      </c>
      <c r="AW7" s="48">
        <v>2597.6</v>
      </c>
      <c r="AX7" s="48">
        <v>2677.4</v>
      </c>
      <c r="AY7" s="48">
        <v>2671</v>
      </c>
      <c r="AZ7" s="48">
        <v>2677.4</v>
      </c>
      <c r="BA7" s="49" t="s">
        <v>217</v>
      </c>
      <c r="BB7" s="49" t="s">
        <v>218</v>
      </c>
      <c r="BC7" s="49" t="s">
        <v>218</v>
      </c>
      <c r="BD7" s="49" t="s">
        <v>219</v>
      </c>
      <c r="BE7" s="49" t="s">
        <v>220</v>
      </c>
    </row>
    <row r="8" spans="1:57" x14ac:dyDescent="0.3">
      <c r="A8" s="46">
        <v>45922</v>
      </c>
      <c r="B8" s="47" t="s">
        <v>106</v>
      </c>
      <c r="C8" s="48">
        <v>2535</v>
      </c>
      <c r="D8" s="48">
        <v>2659</v>
      </c>
      <c r="E8" s="48">
        <v>2522.1</v>
      </c>
      <c r="F8" s="48">
        <v>2524</v>
      </c>
      <c r="G8" s="48">
        <v>2624.5</v>
      </c>
      <c r="H8" s="48">
        <v>2629.5</v>
      </c>
      <c r="I8" s="48">
        <v>2615.4899999999998</v>
      </c>
      <c r="J8" s="48">
        <v>3211</v>
      </c>
      <c r="K8" s="48">
        <v>2025</v>
      </c>
      <c r="L8" s="49" t="s">
        <v>221</v>
      </c>
      <c r="M8" s="49" t="s">
        <v>222</v>
      </c>
      <c r="N8" s="49" t="s">
        <v>223</v>
      </c>
      <c r="O8" s="46">
        <v>45861</v>
      </c>
      <c r="P8" s="46">
        <v>45869</v>
      </c>
      <c r="Q8" s="48">
        <v>2603.4</v>
      </c>
      <c r="R8" s="48">
        <v>2633</v>
      </c>
      <c r="S8" s="48">
        <v>2599.4</v>
      </c>
      <c r="T8" s="48">
        <v>2621.8</v>
      </c>
      <c r="U8" s="48">
        <v>2626.4</v>
      </c>
      <c r="V8" s="48">
        <v>2621.8</v>
      </c>
      <c r="W8" s="48" t="s">
        <v>224</v>
      </c>
      <c r="X8" s="48" t="s">
        <v>225</v>
      </c>
      <c r="Y8" s="49" t="s">
        <v>225</v>
      </c>
      <c r="Z8" s="49" t="s">
        <v>226</v>
      </c>
      <c r="AA8" s="49" t="s">
        <v>227</v>
      </c>
      <c r="AB8" s="46">
        <v>45888</v>
      </c>
      <c r="AC8" s="46">
        <v>45897</v>
      </c>
      <c r="AD8" s="47" t="s">
        <v>107</v>
      </c>
      <c r="AE8" s="47" t="s">
        <v>108</v>
      </c>
      <c r="AF8" s="48">
        <v>2333.9</v>
      </c>
      <c r="AG8" s="48">
        <v>2396.8000000000002</v>
      </c>
      <c r="AH8" s="48">
        <v>2318</v>
      </c>
      <c r="AI8" s="48">
        <v>2388.9</v>
      </c>
      <c r="AJ8" s="48">
        <v>2381.5</v>
      </c>
      <c r="AK8" s="48">
        <v>2388.9</v>
      </c>
      <c r="AL8" s="48" t="s">
        <v>228</v>
      </c>
      <c r="AM8" s="48" t="s">
        <v>229</v>
      </c>
      <c r="AN8" s="49" t="s">
        <v>229</v>
      </c>
      <c r="AO8" s="49" t="s">
        <v>230</v>
      </c>
      <c r="AP8" s="49" t="s">
        <v>231</v>
      </c>
      <c r="AQ8" s="46">
        <v>45922</v>
      </c>
      <c r="AR8" s="46">
        <v>45930</v>
      </c>
      <c r="AS8" s="47" t="s">
        <v>107</v>
      </c>
      <c r="AT8" s="47" t="s">
        <v>108</v>
      </c>
      <c r="AU8" s="48">
        <v>2538.9</v>
      </c>
      <c r="AV8" s="48">
        <v>2670</v>
      </c>
      <c r="AW8" s="48">
        <v>2526.5</v>
      </c>
      <c r="AX8" s="48">
        <v>2637.8</v>
      </c>
      <c r="AY8" s="48">
        <v>2632.5</v>
      </c>
      <c r="AZ8" s="48">
        <v>2637.8</v>
      </c>
      <c r="BA8" s="49" t="s">
        <v>232</v>
      </c>
      <c r="BB8" s="49" t="s">
        <v>233</v>
      </c>
      <c r="BC8" s="49" t="s">
        <v>233</v>
      </c>
      <c r="BD8" s="49" t="s">
        <v>234</v>
      </c>
      <c r="BE8" s="49" t="s">
        <v>235</v>
      </c>
    </row>
    <row r="9" spans="1:57" x14ac:dyDescent="0.3">
      <c r="A9" s="46">
        <v>45919</v>
      </c>
      <c r="B9" s="47" t="s">
        <v>106</v>
      </c>
      <c r="C9" s="48">
        <v>2495</v>
      </c>
      <c r="D9" s="48">
        <v>2579</v>
      </c>
      <c r="E9" s="48">
        <v>2466.1</v>
      </c>
      <c r="F9" s="48">
        <v>2402</v>
      </c>
      <c r="G9" s="48">
        <v>2528</v>
      </c>
      <c r="H9" s="48">
        <v>2524</v>
      </c>
      <c r="I9" s="48">
        <v>2520.0100000000002</v>
      </c>
      <c r="J9" s="48">
        <v>3211</v>
      </c>
      <c r="K9" s="48">
        <v>2025</v>
      </c>
      <c r="L9" s="49" t="s">
        <v>236</v>
      </c>
      <c r="M9" s="49" t="s">
        <v>237</v>
      </c>
      <c r="N9" s="49" t="s">
        <v>238</v>
      </c>
      <c r="O9" s="46">
        <v>45860</v>
      </c>
      <c r="P9" s="46">
        <v>45869</v>
      </c>
      <c r="Q9" s="48">
        <v>2633.2</v>
      </c>
      <c r="R9" s="48">
        <v>2636.3</v>
      </c>
      <c r="S9" s="48">
        <v>2586.9</v>
      </c>
      <c r="T9" s="48">
        <v>2594.5</v>
      </c>
      <c r="U9" s="48">
        <v>2599.4</v>
      </c>
      <c r="V9" s="48">
        <v>2594.5</v>
      </c>
      <c r="W9" s="48" t="s">
        <v>239</v>
      </c>
      <c r="X9" s="48" t="s">
        <v>240</v>
      </c>
      <c r="Y9" s="49" t="s">
        <v>240</v>
      </c>
      <c r="Z9" s="49" t="s">
        <v>241</v>
      </c>
      <c r="AA9" s="50">
        <v>-42600</v>
      </c>
      <c r="AB9" s="46">
        <v>45887</v>
      </c>
      <c r="AC9" s="46">
        <v>45897</v>
      </c>
      <c r="AD9" s="47" t="s">
        <v>107</v>
      </c>
      <c r="AE9" s="47" t="s">
        <v>108</v>
      </c>
      <c r="AF9" s="48">
        <v>2305.9</v>
      </c>
      <c r="AG9" s="48">
        <v>2363.1999999999998</v>
      </c>
      <c r="AH9" s="48">
        <v>2302</v>
      </c>
      <c r="AI9" s="48">
        <v>2334.5</v>
      </c>
      <c r="AJ9" s="48">
        <v>2326.6</v>
      </c>
      <c r="AK9" s="48">
        <v>2334.5</v>
      </c>
      <c r="AL9" s="48" t="s">
        <v>242</v>
      </c>
      <c r="AM9" s="48" t="s">
        <v>243</v>
      </c>
      <c r="AN9" s="49" t="s">
        <v>243</v>
      </c>
      <c r="AO9" s="49" t="s">
        <v>244</v>
      </c>
      <c r="AP9" s="49" t="s">
        <v>245</v>
      </c>
      <c r="AQ9" s="46">
        <v>45919</v>
      </c>
      <c r="AR9" s="46">
        <v>45930</v>
      </c>
      <c r="AS9" s="51" t="s">
        <v>107</v>
      </c>
      <c r="AT9" s="51" t="s">
        <v>108</v>
      </c>
      <c r="AU9" s="50">
        <v>2470</v>
      </c>
      <c r="AV9" s="50">
        <v>2589.4</v>
      </c>
      <c r="AW9" s="50">
        <v>2470</v>
      </c>
      <c r="AX9" s="50">
        <v>2533.1</v>
      </c>
      <c r="AY9" s="50">
        <v>2535</v>
      </c>
      <c r="AZ9" s="50">
        <v>2533.1</v>
      </c>
      <c r="BA9" s="50" t="s">
        <v>246</v>
      </c>
      <c r="BB9" s="50" t="s">
        <v>247</v>
      </c>
      <c r="BC9" s="50" t="s">
        <v>247</v>
      </c>
      <c r="BD9" s="50" t="s">
        <v>248</v>
      </c>
      <c r="BE9" s="50">
        <v>-64500</v>
      </c>
    </row>
    <row r="10" spans="1:57" x14ac:dyDescent="0.3">
      <c r="A10" s="46">
        <v>45918</v>
      </c>
      <c r="B10" s="47" t="s">
        <v>106</v>
      </c>
      <c r="C10" s="48">
        <v>2414.5</v>
      </c>
      <c r="D10" s="48">
        <v>2438</v>
      </c>
      <c r="E10" s="48">
        <v>2388.4</v>
      </c>
      <c r="F10" s="48">
        <v>2402</v>
      </c>
      <c r="G10" s="48">
        <v>2402</v>
      </c>
      <c r="H10" s="48">
        <v>2402</v>
      </c>
      <c r="I10" s="48">
        <v>2409.5500000000002</v>
      </c>
      <c r="J10" s="48">
        <v>3211</v>
      </c>
      <c r="K10" s="48">
        <v>2025</v>
      </c>
      <c r="L10" s="49" t="s">
        <v>249</v>
      </c>
      <c r="M10" s="49" t="s">
        <v>250</v>
      </c>
      <c r="N10" s="50">
        <v>35404</v>
      </c>
      <c r="O10" s="46">
        <v>45859</v>
      </c>
      <c r="P10" s="46">
        <v>45869</v>
      </c>
      <c r="Q10" s="48">
        <v>2604.6999999999998</v>
      </c>
      <c r="R10" s="48">
        <v>2628.9</v>
      </c>
      <c r="S10" s="48">
        <v>2592</v>
      </c>
      <c r="T10" s="48">
        <v>2625.8</v>
      </c>
      <c r="U10" s="48">
        <v>2623.8</v>
      </c>
      <c r="V10" s="48">
        <v>2625.8</v>
      </c>
      <c r="W10" s="48" t="s">
        <v>251</v>
      </c>
      <c r="X10" s="48" t="s">
        <v>252</v>
      </c>
      <c r="Y10" s="49" t="s">
        <v>252</v>
      </c>
      <c r="Z10" s="49" t="s">
        <v>253</v>
      </c>
      <c r="AA10" s="49" t="s">
        <v>254</v>
      </c>
      <c r="AB10" s="46">
        <v>45883</v>
      </c>
      <c r="AC10" s="46">
        <v>45897</v>
      </c>
      <c r="AD10" s="47" t="s">
        <v>107</v>
      </c>
      <c r="AE10" s="47" t="s">
        <v>108</v>
      </c>
      <c r="AF10" s="48">
        <v>2290.6999999999998</v>
      </c>
      <c r="AG10" s="48">
        <v>2308</v>
      </c>
      <c r="AH10" s="48">
        <v>2272.9</v>
      </c>
      <c r="AI10" s="48">
        <v>2283</v>
      </c>
      <c r="AJ10" s="48">
        <v>2282.1999999999998</v>
      </c>
      <c r="AK10" s="48">
        <v>2283</v>
      </c>
      <c r="AL10" s="48" t="s">
        <v>255</v>
      </c>
      <c r="AM10" s="48" t="s">
        <v>256</v>
      </c>
      <c r="AN10" s="49" t="s">
        <v>256</v>
      </c>
      <c r="AO10" s="49" t="s">
        <v>257</v>
      </c>
      <c r="AP10" s="49" t="s">
        <v>258</v>
      </c>
      <c r="AQ10" s="46">
        <v>45918</v>
      </c>
      <c r="AR10" s="46">
        <v>45930</v>
      </c>
      <c r="AS10" s="47" t="s">
        <v>107</v>
      </c>
      <c r="AT10" s="47" t="s">
        <v>108</v>
      </c>
      <c r="AU10" s="48">
        <v>2416.4</v>
      </c>
      <c r="AV10" s="48">
        <v>2449</v>
      </c>
      <c r="AW10" s="48">
        <v>2397.4</v>
      </c>
      <c r="AX10" s="48">
        <v>2412.9</v>
      </c>
      <c r="AY10" s="48">
        <v>2413</v>
      </c>
      <c r="AZ10" s="48">
        <v>2412.9</v>
      </c>
      <c r="BA10" s="49" t="s">
        <v>259</v>
      </c>
      <c r="BB10" s="49" t="s">
        <v>260</v>
      </c>
      <c r="BC10" s="49" t="s">
        <v>260</v>
      </c>
      <c r="BD10" s="49" t="s">
        <v>261</v>
      </c>
      <c r="BE10" s="49" t="s">
        <v>262</v>
      </c>
    </row>
    <row r="11" spans="1:57" x14ac:dyDescent="0.3">
      <c r="A11" s="46">
        <v>45917</v>
      </c>
      <c r="B11" s="47" t="s">
        <v>106</v>
      </c>
      <c r="C11" s="48">
        <v>2417</v>
      </c>
      <c r="D11" s="48">
        <v>2417</v>
      </c>
      <c r="E11" s="48">
        <v>2391</v>
      </c>
      <c r="F11" s="48">
        <v>2399.4</v>
      </c>
      <c r="G11" s="48">
        <v>2408</v>
      </c>
      <c r="H11" s="48">
        <v>2402</v>
      </c>
      <c r="I11" s="48">
        <v>2402.5</v>
      </c>
      <c r="J11" s="48">
        <v>3211</v>
      </c>
      <c r="K11" s="48">
        <v>2025</v>
      </c>
      <c r="L11" s="49" t="s">
        <v>263</v>
      </c>
      <c r="M11" s="49" t="s">
        <v>264</v>
      </c>
      <c r="N11" s="50">
        <v>30311</v>
      </c>
      <c r="O11" s="46">
        <v>45856</v>
      </c>
      <c r="P11" s="46">
        <v>45869</v>
      </c>
      <c r="Q11" s="48">
        <v>2625.4</v>
      </c>
      <c r="R11" s="48">
        <v>2636.7</v>
      </c>
      <c r="S11" s="48">
        <v>2591.6999999999998</v>
      </c>
      <c r="T11" s="48">
        <v>2604.6999999999998</v>
      </c>
      <c r="U11" s="48">
        <v>2605</v>
      </c>
      <c r="V11" s="48">
        <v>2604.6999999999998</v>
      </c>
      <c r="W11" s="48" t="s">
        <v>265</v>
      </c>
      <c r="X11" s="48" t="s">
        <v>266</v>
      </c>
      <c r="Y11" s="49" t="s">
        <v>266</v>
      </c>
      <c r="Z11" s="49" t="s">
        <v>267</v>
      </c>
      <c r="AA11" s="50">
        <v>26700</v>
      </c>
      <c r="AB11" s="46">
        <v>45882</v>
      </c>
      <c r="AC11" s="46">
        <v>45897</v>
      </c>
      <c r="AD11" s="47" t="s">
        <v>107</v>
      </c>
      <c r="AE11" s="47" t="s">
        <v>108</v>
      </c>
      <c r="AF11" s="50">
        <v>2300.1999999999998</v>
      </c>
      <c r="AG11" s="50">
        <v>2318.4</v>
      </c>
      <c r="AH11" s="50">
        <v>2248.1</v>
      </c>
      <c r="AI11" s="50">
        <v>2288</v>
      </c>
      <c r="AJ11" s="50">
        <v>2294.6999999999998</v>
      </c>
      <c r="AK11" s="50">
        <v>2288</v>
      </c>
      <c r="AL11" s="50" t="s">
        <v>268</v>
      </c>
      <c r="AM11" s="50" t="s">
        <v>269</v>
      </c>
      <c r="AN11" s="50" t="s">
        <v>269</v>
      </c>
      <c r="AO11" s="50" t="s">
        <v>270</v>
      </c>
      <c r="AP11" s="50">
        <v>-75600</v>
      </c>
      <c r="AQ11" s="46">
        <v>45917</v>
      </c>
      <c r="AR11" s="46">
        <v>45930</v>
      </c>
      <c r="AS11" s="51" t="s">
        <v>107</v>
      </c>
      <c r="AT11" s="51" t="s">
        <v>108</v>
      </c>
      <c r="AU11" s="50">
        <v>2414.8000000000002</v>
      </c>
      <c r="AV11" s="50">
        <v>2420.6999999999998</v>
      </c>
      <c r="AW11" s="50">
        <v>2397.6999999999998</v>
      </c>
      <c r="AX11" s="50">
        <v>2409.6</v>
      </c>
      <c r="AY11" s="50">
        <v>2411</v>
      </c>
      <c r="AZ11" s="50">
        <v>2409.6</v>
      </c>
      <c r="BA11" s="50" t="s">
        <v>271</v>
      </c>
      <c r="BB11" s="50" t="s">
        <v>272</v>
      </c>
      <c r="BC11" s="50" t="s">
        <v>272</v>
      </c>
      <c r="BD11" s="50" t="s">
        <v>273</v>
      </c>
      <c r="BE11" s="50" t="s">
        <v>274</v>
      </c>
    </row>
    <row r="12" spans="1:57" x14ac:dyDescent="0.3">
      <c r="A12" s="46">
        <v>45916</v>
      </c>
      <c r="B12" s="47" t="s">
        <v>106</v>
      </c>
      <c r="C12" s="48">
        <v>2410</v>
      </c>
      <c r="D12" s="48">
        <v>2415.8000000000002</v>
      </c>
      <c r="E12" s="48">
        <v>2388</v>
      </c>
      <c r="F12" s="48">
        <v>2383.4</v>
      </c>
      <c r="G12" s="48">
        <v>2401</v>
      </c>
      <c r="H12" s="48">
        <v>2399.4</v>
      </c>
      <c r="I12" s="48">
        <v>2398.04</v>
      </c>
      <c r="J12" s="48">
        <v>3211</v>
      </c>
      <c r="K12" s="48">
        <v>2025</v>
      </c>
      <c r="L12" s="49" t="s">
        <v>275</v>
      </c>
      <c r="M12" s="49" t="s">
        <v>276</v>
      </c>
      <c r="N12" s="50">
        <v>33207</v>
      </c>
      <c r="O12" s="46">
        <v>45855</v>
      </c>
      <c r="P12" s="46">
        <v>45869</v>
      </c>
      <c r="Q12" s="48">
        <v>2620</v>
      </c>
      <c r="R12" s="48">
        <v>2665.3</v>
      </c>
      <c r="S12" s="48">
        <v>2610.1</v>
      </c>
      <c r="T12" s="48">
        <v>2626.4</v>
      </c>
      <c r="U12" s="48">
        <v>2627.4</v>
      </c>
      <c r="V12" s="48">
        <v>2626.4</v>
      </c>
      <c r="W12" s="48" t="s">
        <v>277</v>
      </c>
      <c r="X12" s="48" t="s">
        <v>278</v>
      </c>
      <c r="Y12" s="49" t="s">
        <v>278</v>
      </c>
      <c r="Z12" s="49" t="s">
        <v>279</v>
      </c>
      <c r="AA12" s="49" t="s">
        <v>280</v>
      </c>
      <c r="AB12" s="46">
        <v>45881</v>
      </c>
      <c r="AC12" s="46">
        <v>45897</v>
      </c>
      <c r="AD12" s="47" t="s">
        <v>107</v>
      </c>
      <c r="AE12" s="47" t="s">
        <v>108</v>
      </c>
      <c r="AF12" s="48">
        <v>2277.9</v>
      </c>
      <c r="AG12" s="48">
        <v>2317.5</v>
      </c>
      <c r="AH12" s="48">
        <v>2270.1999999999998</v>
      </c>
      <c r="AI12" s="48">
        <v>2292.4</v>
      </c>
      <c r="AJ12" s="48">
        <v>2295.1</v>
      </c>
      <c r="AK12" s="48">
        <v>2292.4</v>
      </c>
      <c r="AL12" s="48" t="s">
        <v>281</v>
      </c>
      <c r="AM12" s="48" t="s">
        <v>282</v>
      </c>
      <c r="AN12" s="49" t="s">
        <v>282</v>
      </c>
      <c r="AO12" s="49" t="s">
        <v>283</v>
      </c>
      <c r="AP12" s="49" t="s">
        <v>284</v>
      </c>
      <c r="AQ12" s="46">
        <v>45916</v>
      </c>
      <c r="AR12" s="46">
        <v>45930</v>
      </c>
      <c r="AS12" s="47" t="s">
        <v>107</v>
      </c>
      <c r="AT12" s="47" t="s">
        <v>108</v>
      </c>
      <c r="AU12" s="48">
        <v>2413.1</v>
      </c>
      <c r="AV12" s="48">
        <v>2418</v>
      </c>
      <c r="AW12" s="48">
        <v>2392.6</v>
      </c>
      <c r="AX12" s="48">
        <v>2408.6999999999998</v>
      </c>
      <c r="AY12" s="48">
        <v>2408.1999999999998</v>
      </c>
      <c r="AZ12" s="48">
        <v>2408.6999999999998</v>
      </c>
      <c r="BA12" s="49" t="s">
        <v>285</v>
      </c>
      <c r="BB12" s="49" t="s">
        <v>286</v>
      </c>
      <c r="BC12" s="49" t="s">
        <v>286</v>
      </c>
      <c r="BD12" s="49" t="s">
        <v>287</v>
      </c>
      <c r="BE12" s="49" t="s">
        <v>288</v>
      </c>
    </row>
    <row r="13" spans="1:57" x14ac:dyDescent="0.3">
      <c r="A13" s="46">
        <v>45915</v>
      </c>
      <c r="B13" s="47" t="s">
        <v>106</v>
      </c>
      <c r="C13" s="48">
        <v>2392</v>
      </c>
      <c r="D13" s="48">
        <v>2402.8000000000002</v>
      </c>
      <c r="E13" s="48">
        <v>2378.1</v>
      </c>
      <c r="F13" s="48">
        <v>2392</v>
      </c>
      <c r="G13" s="48">
        <v>2381</v>
      </c>
      <c r="H13" s="48">
        <v>2383.4</v>
      </c>
      <c r="I13" s="48">
        <v>2389.59</v>
      </c>
      <c r="J13" s="48">
        <v>3211</v>
      </c>
      <c r="K13" s="48">
        <v>2025</v>
      </c>
      <c r="L13" s="49" t="s">
        <v>289</v>
      </c>
      <c r="M13" s="49" t="s">
        <v>290</v>
      </c>
      <c r="N13" s="50">
        <v>20087</v>
      </c>
      <c r="O13" s="46">
        <v>45854</v>
      </c>
      <c r="P13" s="46">
        <v>45869</v>
      </c>
      <c r="Q13" s="48">
        <v>2619.1999999999998</v>
      </c>
      <c r="R13" s="48">
        <v>2630.6</v>
      </c>
      <c r="S13" s="48">
        <v>2598.8000000000002</v>
      </c>
      <c r="T13" s="48">
        <v>2617.5</v>
      </c>
      <c r="U13" s="48">
        <v>2619.8000000000002</v>
      </c>
      <c r="V13" s="48">
        <v>2617.5</v>
      </c>
      <c r="W13" s="48" t="s">
        <v>291</v>
      </c>
      <c r="X13" s="48" t="s">
        <v>292</v>
      </c>
      <c r="Y13" s="49" t="s">
        <v>292</v>
      </c>
      <c r="Z13" s="49" t="s">
        <v>293</v>
      </c>
      <c r="AA13" s="50">
        <v>23700</v>
      </c>
      <c r="AB13" s="46">
        <v>45880</v>
      </c>
      <c r="AC13" s="46">
        <v>45897</v>
      </c>
      <c r="AD13" s="47" t="s">
        <v>107</v>
      </c>
      <c r="AE13" s="47" t="s">
        <v>108</v>
      </c>
      <c r="AF13" s="48">
        <v>2191.9</v>
      </c>
      <c r="AG13" s="48">
        <v>2311.9</v>
      </c>
      <c r="AH13" s="48">
        <v>2187.5</v>
      </c>
      <c r="AI13" s="48">
        <v>2289.6</v>
      </c>
      <c r="AJ13" s="48">
        <v>2280</v>
      </c>
      <c r="AK13" s="48">
        <v>2289.6</v>
      </c>
      <c r="AL13" s="48" t="s">
        <v>294</v>
      </c>
      <c r="AM13" s="48" t="s">
        <v>295</v>
      </c>
      <c r="AN13" s="49" t="s">
        <v>295</v>
      </c>
      <c r="AO13" s="49" t="s">
        <v>296</v>
      </c>
      <c r="AP13" s="49" t="s">
        <v>297</v>
      </c>
      <c r="AQ13" s="46">
        <v>45915</v>
      </c>
      <c r="AR13" s="46">
        <v>45930</v>
      </c>
      <c r="AS13" s="51" t="s">
        <v>107</v>
      </c>
      <c r="AT13" s="51" t="s">
        <v>108</v>
      </c>
      <c r="AU13" s="50">
        <v>2402.6999999999998</v>
      </c>
      <c r="AV13" s="50">
        <v>2408.9</v>
      </c>
      <c r="AW13" s="50">
        <v>2385.1999999999998</v>
      </c>
      <c r="AX13" s="50">
        <v>2392.1999999999998</v>
      </c>
      <c r="AY13" s="50">
        <v>2392.6999999999998</v>
      </c>
      <c r="AZ13" s="50">
        <v>2392.1999999999998</v>
      </c>
      <c r="BA13" s="50" t="s">
        <v>298</v>
      </c>
      <c r="BB13" s="50" t="s">
        <v>299</v>
      </c>
      <c r="BC13" s="50" t="s">
        <v>299</v>
      </c>
      <c r="BD13" s="50" t="s">
        <v>300</v>
      </c>
      <c r="BE13" s="50">
        <v>-20400</v>
      </c>
    </row>
    <row r="14" spans="1:57" x14ac:dyDescent="0.3">
      <c r="A14" s="46">
        <v>45912</v>
      </c>
      <c r="B14" s="47" t="s">
        <v>106</v>
      </c>
      <c r="C14" s="48">
        <v>2416.9</v>
      </c>
      <c r="D14" s="48">
        <v>2421.6</v>
      </c>
      <c r="E14" s="48">
        <v>2387.1</v>
      </c>
      <c r="F14" s="48">
        <v>2398.8000000000002</v>
      </c>
      <c r="G14" s="48">
        <v>2389</v>
      </c>
      <c r="H14" s="48">
        <v>2392</v>
      </c>
      <c r="I14" s="48">
        <v>2403.9499999999998</v>
      </c>
      <c r="J14" s="48">
        <v>3211</v>
      </c>
      <c r="K14" s="48">
        <v>2025</v>
      </c>
      <c r="L14" s="49" t="s">
        <v>301</v>
      </c>
      <c r="M14" s="49" t="s">
        <v>302</v>
      </c>
      <c r="N14" s="50">
        <v>27629</v>
      </c>
      <c r="O14" s="46">
        <v>45853</v>
      </c>
      <c r="P14" s="46">
        <v>45869</v>
      </c>
      <c r="Q14" s="48">
        <v>2593</v>
      </c>
      <c r="R14" s="48">
        <v>2616.1999999999998</v>
      </c>
      <c r="S14" s="48">
        <v>2582.4</v>
      </c>
      <c r="T14" s="48">
        <v>2605.5</v>
      </c>
      <c r="U14" s="48">
        <v>2607</v>
      </c>
      <c r="V14" s="48">
        <v>2605.5</v>
      </c>
      <c r="W14" s="48" t="s">
        <v>303</v>
      </c>
      <c r="X14" s="48" t="s">
        <v>304</v>
      </c>
      <c r="Y14" s="49" t="s">
        <v>304</v>
      </c>
      <c r="Z14" s="49" t="s">
        <v>305</v>
      </c>
      <c r="AA14" s="50">
        <v>56700</v>
      </c>
      <c r="AB14" s="52">
        <v>45877</v>
      </c>
      <c r="AC14" s="46">
        <v>45897</v>
      </c>
      <c r="AD14" s="47" t="s">
        <v>107</v>
      </c>
      <c r="AE14" s="47" t="s">
        <v>108</v>
      </c>
      <c r="AF14" s="48">
        <v>2258.6999999999998</v>
      </c>
      <c r="AG14" s="48">
        <v>2266.6999999999998</v>
      </c>
      <c r="AH14" s="48">
        <v>2168</v>
      </c>
      <c r="AI14" s="48">
        <v>2181.6999999999998</v>
      </c>
      <c r="AJ14" s="48">
        <v>2180.5</v>
      </c>
      <c r="AK14" s="48">
        <v>2181.6999999999998</v>
      </c>
      <c r="AL14" s="48" t="s">
        <v>306</v>
      </c>
      <c r="AM14" s="48" t="s">
        <v>307</v>
      </c>
      <c r="AN14" s="49" t="s">
        <v>307</v>
      </c>
      <c r="AO14" s="49" t="s">
        <v>308</v>
      </c>
      <c r="AP14" s="49" t="s">
        <v>309</v>
      </c>
      <c r="AQ14" s="46">
        <v>45912</v>
      </c>
      <c r="AR14" s="46">
        <v>45930</v>
      </c>
      <c r="AS14" s="51" t="s">
        <v>107</v>
      </c>
      <c r="AT14" s="51" t="s">
        <v>108</v>
      </c>
      <c r="AU14" s="50">
        <v>2420</v>
      </c>
      <c r="AV14" s="50">
        <v>2427.4</v>
      </c>
      <c r="AW14" s="50">
        <v>2394.6</v>
      </c>
      <c r="AX14" s="50">
        <v>2397.4</v>
      </c>
      <c r="AY14" s="50">
        <v>2397.6</v>
      </c>
      <c r="AZ14" s="50">
        <v>2397.4</v>
      </c>
      <c r="BA14" s="50" t="s">
        <v>310</v>
      </c>
      <c r="BB14" s="50" t="s">
        <v>311</v>
      </c>
      <c r="BC14" s="50" t="s">
        <v>311</v>
      </c>
      <c r="BD14" s="50" t="s">
        <v>312</v>
      </c>
      <c r="BE14" s="50">
        <v>-47700</v>
      </c>
    </row>
    <row r="15" spans="1:57" x14ac:dyDescent="0.3">
      <c r="A15" s="46">
        <v>45911</v>
      </c>
      <c r="B15" s="47" t="s">
        <v>106</v>
      </c>
      <c r="C15" s="48">
        <v>2348</v>
      </c>
      <c r="D15" s="48">
        <v>2418.6999999999998</v>
      </c>
      <c r="E15" s="48">
        <v>2340.1999999999998</v>
      </c>
      <c r="F15" s="48">
        <v>2340.1999999999998</v>
      </c>
      <c r="G15" s="48">
        <v>2408</v>
      </c>
      <c r="H15" s="48">
        <v>2398.8000000000002</v>
      </c>
      <c r="I15" s="48">
        <v>2394.0300000000002</v>
      </c>
      <c r="J15" s="48">
        <v>3211</v>
      </c>
      <c r="K15" s="48">
        <v>2025</v>
      </c>
      <c r="L15" s="49" t="s">
        <v>313</v>
      </c>
      <c r="M15" s="49" t="s">
        <v>314</v>
      </c>
      <c r="N15" s="50">
        <v>91785</v>
      </c>
      <c r="O15" s="46">
        <v>45852</v>
      </c>
      <c r="P15" s="46">
        <v>45869</v>
      </c>
      <c r="Q15" s="48">
        <v>2566.6</v>
      </c>
      <c r="R15" s="48">
        <v>2616</v>
      </c>
      <c r="S15" s="48">
        <v>2553</v>
      </c>
      <c r="T15" s="48">
        <v>2591.3000000000002</v>
      </c>
      <c r="U15" s="48">
        <v>2587.3000000000002</v>
      </c>
      <c r="V15" s="48">
        <v>2591.3000000000002</v>
      </c>
      <c r="W15" s="48" t="s">
        <v>315</v>
      </c>
      <c r="X15" s="48" t="s">
        <v>316</v>
      </c>
      <c r="Y15" s="49" t="s">
        <v>316</v>
      </c>
      <c r="Z15" s="49" t="s">
        <v>317</v>
      </c>
      <c r="AA15" s="49" t="s">
        <v>318</v>
      </c>
      <c r="AB15" s="52">
        <v>45876</v>
      </c>
      <c r="AC15" s="46">
        <v>45897</v>
      </c>
      <c r="AD15" s="47" t="s">
        <v>107</v>
      </c>
      <c r="AE15" s="47" t="s">
        <v>108</v>
      </c>
      <c r="AF15" s="50">
        <v>2301.6999999999998</v>
      </c>
      <c r="AG15" s="50">
        <v>2303</v>
      </c>
      <c r="AH15" s="50">
        <v>2206.6999999999998</v>
      </c>
      <c r="AI15" s="50">
        <v>2258.6999999999998</v>
      </c>
      <c r="AJ15" s="50">
        <v>2250.9</v>
      </c>
      <c r="AK15" s="50">
        <v>2258.6999999999998</v>
      </c>
      <c r="AL15" s="50" t="s">
        <v>319</v>
      </c>
      <c r="AM15" s="50" t="s">
        <v>320</v>
      </c>
      <c r="AN15" s="50" t="s">
        <v>320</v>
      </c>
      <c r="AO15" s="50" t="s">
        <v>321</v>
      </c>
      <c r="AP15" s="50">
        <v>-28800</v>
      </c>
      <c r="AQ15" s="46">
        <v>45911</v>
      </c>
      <c r="AR15" s="46">
        <v>45930</v>
      </c>
      <c r="AS15" s="51" t="s">
        <v>107</v>
      </c>
      <c r="AT15" s="51" t="s">
        <v>108</v>
      </c>
      <c r="AU15" s="50">
        <v>2352.9</v>
      </c>
      <c r="AV15" s="50">
        <v>2427.1</v>
      </c>
      <c r="AW15" s="50">
        <v>2351.9</v>
      </c>
      <c r="AX15" s="50">
        <v>2406.4</v>
      </c>
      <c r="AY15" s="50">
        <v>2413</v>
      </c>
      <c r="AZ15" s="50">
        <v>2406.4</v>
      </c>
      <c r="BA15" s="50" t="s">
        <v>322</v>
      </c>
      <c r="BB15" s="50" t="s">
        <v>323</v>
      </c>
      <c r="BC15" s="50" t="s">
        <v>323</v>
      </c>
      <c r="BD15" s="50" t="s">
        <v>324</v>
      </c>
      <c r="BE15" s="50" t="s">
        <v>325</v>
      </c>
    </row>
    <row r="16" spans="1:57" x14ac:dyDescent="0.3">
      <c r="A16" s="46">
        <v>45910</v>
      </c>
      <c r="B16" s="47" t="s">
        <v>106</v>
      </c>
      <c r="C16" s="48">
        <v>2330</v>
      </c>
      <c r="D16" s="48">
        <v>2345.9</v>
      </c>
      <c r="E16" s="48">
        <v>2325.1</v>
      </c>
      <c r="F16" s="48">
        <v>2311.6</v>
      </c>
      <c r="G16" s="48">
        <v>2340.8000000000002</v>
      </c>
      <c r="H16" s="48">
        <v>2340.1999999999998</v>
      </c>
      <c r="I16" s="48">
        <v>2337.73</v>
      </c>
      <c r="J16" s="48">
        <v>3211</v>
      </c>
      <c r="K16" s="48">
        <v>2025</v>
      </c>
      <c r="L16" s="49" t="s">
        <v>326</v>
      </c>
      <c r="M16" s="49" t="s">
        <v>327</v>
      </c>
      <c r="N16" s="50">
        <v>26122</v>
      </c>
      <c r="O16" s="46">
        <v>45849</v>
      </c>
      <c r="P16" s="46">
        <v>45869</v>
      </c>
      <c r="Q16" s="48">
        <v>2587.5</v>
      </c>
      <c r="R16" s="48">
        <v>2599</v>
      </c>
      <c r="S16" s="48">
        <v>2563.1</v>
      </c>
      <c r="T16" s="48">
        <v>2569</v>
      </c>
      <c r="U16" s="48">
        <v>2573.9</v>
      </c>
      <c r="V16" s="48">
        <v>2569</v>
      </c>
      <c r="W16" s="48" t="s">
        <v>328</v>
      </c>
      <c r="X16" s="48" t="s">
        <v>329</v>
      </c>
      <c r="Y16" s="49" t="s">
        <v>329</v>
      </c>
      <c r="Z16" s="49" t="s">
        <v>330</v>
      </c>
      <c r="AA16" s="50">
        <v>-38400</v>
      </c>
      <c r="AB16" s="52">
        <v>45875</v>
      </c>
      <c r="AC16" s="46">
        <v>45897</v>
      </c>
      <c r="AD16" s="47" t="s">
        <v>107</v>
      </c>
      <c r="AE16" s="47" t="s">
        <v>108</v>
      </c>
      <c r="AF16" s="48">
        <v>2333</v>
      </c>
      <c r="AG16" s="48">
        <v>2352.1999999999998</v>
      </c>
      <c r="AH16" s="48">
        <v>2301.1</v>
      </c>
      <c r="AI16" s="48">
        <v>2304.6</v>
      </c>
      <c r="AJ16" s="48">
        <v>2303.1999999999998</v>
      </c>
      <c r="AK16" s="48">
        <v>2304.6</v>
      </c>
      <c r="AL16" s="48" t="s">
        <v>331</v>
      </c>
      <c r="AM16" s="48" t="s">
        <v>332</v>
      </c>
      <c r="AN16" s="49" t="s">
        <v>332</v>
      </c>
      <c r="AO16" s="49" t="s">
        <v>333</v>
      </c>
      <c r="AP16" s="49" t="s">
        <v>334</v>
      </c>
      <c r="AQ16" s="46">
        <v>45910</v>
      </c>
      <c r="AR16" s="46">
        <v>45930</v>
      </c>
      <c r="AS16" s="51" t="s">
        <v>107</v>
      </c>
      <c r="AT16" s="51" t="s">
        <v>108</v>
      </c>
      <c r="AU16" s="50">
        <v>2337.9</v>
      </c>
      <c r="AV16" s="50">
        <v>2358.1</v>
      </c>
      <c r="AW16" s="50">
        <v>2335</v>
      </c>
      <c r="AX16" s="50">
        <v>2351.9</v>
      </c>
      <c r="AY16" s="50">
        <v>2351.8000000000002</v>
      </c>
      <c r="AZ16" s="50">
        <v>2351.9</v>
      </c>
      <c r="BA16" s="50" t="s">
        <v>335</v>
      </c>
      <c r="BB16" s="50" t="s">
        <v>336</v>
      </c>
      <c r="BC16" s="50" t="s">
        <v>336</v>
      </c>
      <c r="BD16" s="50" t="s">
        <v>337</v>
      </c>
      <c r="BE16" s="50">
        <v>-44100</v>
      </c>
    </row>
    <row r="17" spans="1:57" x14ac:dyDescent="0.3">
      <c r="A17" s="46">
        <v>45909</v>
      </c>
      <c r="B17" s="47" t="s">
        <v>106</v>
      </c>
      <c r="C17" s="48">
        <v>2320</v>
      </c>
      <c r="D17" s="48">
        <v>2325</v>
      </c>
      <c r="E17" s="48">
        <v>2297</v>
      </c>
      <c r="F17" s="48">
        <v>2310.9</v>
      </c>
      <c r="G17" s="48">
        <v>2313.8000000000002</v>
      </c>
      <c r="H17" s="48">
        <v>2311.6</v>
      </c>
      <c r="I17" s="48">
        <v>2312.02</v>
      </c>
      <c r="J17" s="48">
        <v>3211</v>
      </c>
      <c r="K17" s="48">
        <v>2025</v>
      </c>
      <c r="L17" s="49" t="s">
        <v>338</v>
      </c>
      <c r="M17" s="49" t="s">
        <v>339</v>
      </c>
      <c r="N17" s="50">
        <v>25802</v>
      </c>
      <c r="O17" s="46">
        <v>45848</v>
      </c>
      <c r="P17" s="46">
        <v>45869</v>
      </c>
      <c r="Q17" s="48">
        <v>2594.6</v>
      </c>
      <c r="R17" s="48">
        <v>2613.6</v>
      </c>
      <c r="S17" s="48">
        <v>2580.5</v>
      </c>
      <c r="T17" s="48">
        <v>2587.4</v>
      </c>
      <c r="U17" s="48">
        <v>2589.8000000000002</v>
      </c>
      <c r="V17" s="48">
        <v>2587.4</v>
      </c>
      <c r="W17" s="48" t="s">
        <v>340</v>
      </c>
      <c r="X17" s="48" t="s">
        <v>341</v>
      </c>
      <c r="Y17" s="49" t="s">
        <v>341</v>
      </c>
      <c r="Z17" s="49" t="s">
        <v>342</v>
      </c>
      <c r="AA17" s="50">
        <v>-37800</v>
      </c>
      <c r="AB17" s="52">
        <v>45874</v>
      </c>
      <c r="AC17" s="46">
        <v>45897</v>
      </c>
      <c r="AD17" s="47" t="s">
        <v>107</v>
      </c>
      <c r="AE17" s="47" t="s">
        <v>108</v>
      </c>
      <c r="AF17" s="50">
        <v>2372.1999999999998</v>
      </c>
      <c r="AG17" s="50">
        <v>2373.5</v>
      </c>
      <c r="AH17" s="50">
        <v>2321.1999999999998</v>
      </c>
      <c r="AI17" s="50">
        <v>2333</v>
      </c>
      <c r="AJ17" s="50">
        <v>2335.1</v>
      </c>
      <c r="AK17" s="50">
        <v>2333</v>
      </c>
      <c r="AL17" s="50" t="s">
        <v>343</v>
      </c>
      <c r="AM17" s="50" t="s">
        <v>344</v>
      </c>
      <c r="AN17" s="50" t="s">
        <v>344</v>
      </c>
      <c r="AO17" s="50" t="s">
        <v>345</v>
      </c>
      <c r="AP17" s="50">
        <v>-5400</v>
      </c>
      <c r="AQ17" s="52">
        <v>45909</v>
      </c>
      <c r="AR17" s="46">
        <v>45930</v>
      </c>
      <c r="AS17" s="51" t="s">
        <v>107</v>
      </c>
      <c r="AT17" s="51" t="s">
        <v>108</v>
      </c>
      <c r="AU17" s="50">
        <v>2335.6</v>
      </c>
      <c r="AV17" s="50">
        <v>2335.6</v>
      </c>
      <c r="AW17" s="50">
        <v>2305.1999999999998</v>
      </c>
      <c r="AX17" s="50">
        <v>2317.9</v>
      </c>
      <c r="AY17" s="50">
        <v>2320.8000000000002</v>
      </c>
      <c r="AZ17" s="50">
        <v>2317.9</v>
      </c>
      <c r="BA17" s="50" t="s">
        <v>346</v>
      </c>
      <c r="BB17" s="50" t="s">
        <v>347</v>
      </c>
      <c r="BC17" s="50" t="s">
        <v>347</v>
      </c>
      <c r="BD17" s="50" t="s">
        <v>348</v>
      </c>
      <c r="BE17" s="51" t="s">
        <v>108</v>
      </c>
    </row>
    <row r="18" spans="1:57" x14ac:dyDescent="0.3">
      <c r="A18" s="52">
        <v>45908</v>
      </c>
      <c r="B18" s="47" t="s">
        <v>106</v>
      </c>
      <c r="C18" s="48">
        <v>2290</v>
      </c>
      <c r="D18" s="48">
        <v>2333.9</v>
      </c>
      <c r="E18" s="48">
        <v>2286</v>
      </c>
      <c r="F18" s="48">
        <v>2281.4</v>
      </c>
      <c r="G18" s="48">
        <v>2319</v>
      </c>
      <c r="H18" s="48">
        <v>2310.9</v>
      </c>
      <c r="I18" s="48">
        <v>2317.98</v>
      </c>
      <c r="J18" s="48">
        <v>3211</v>
      </c>
      <c r="K18" s="48">
        <v>2025</v>
      </c>
      <c r="L18" s="49" t="s">
        <v>349</v>
      </c>
      <c r="M18" s="49" t="s">
        <v>350</v>
      </c>
      <c r="N18" s="50">
        <v>33564</v>
      </c>
      <c r="O18" s="52">
        <v>45847</v>
      </c>
      <c r="P18" s="46">
        <v>45869</v>
      </c>
      <c r="Q18" s="48">
        <v>2601.5</v>
      </c>
      <c r="R18" s="48">
        <v>2618.6</v>
      </c>
      <c r="S18" s="48">
        <v>2576.4</v>
      </c>
      <c r="T18" s="48">
        <v>2591.4</v>
      </c>
      <c r="U18" s="48">
        <v>2594</v>
      </c>
      <c r="V18" s="48">
        <v>2591.4</v>
      </c>
      <c r="W18" s="48" t="s">
        <v>351</v>
      </c>
      <c r="X18" s="48" t="s">
        <v>352</v>
      </c>
      <c r="Y18" s="49" t="s">
        <v>352</v>
      </c>
      <c r="Z18" s="49" t="s">
        <v>353</v>
      </c>
      <c r="AA18" s="50">
        <v>1200</v>
      </c>
      <c r="AB18" s="52">
        <v>45873</v>
      </c>
      <c r="AC18" s="46">
        <v>45897</v>
      </c>
      <c r="AD18" s="47" t="s">
        <v>107</v>
      </c>
      <c r="AE18" s="47" t="s">
        <v>108</v>
      </c>
      <c r="AF18" s="50">
        <v>2364.3000000000002</v>
      </c>
      <c r="AG18" s="50">
        <v>2383.8000000000002</v>
      </c>
      <c r="AH18" s="50">
        <v>2343.8000000000002</v>
      </c>
      <c r="AI18" s="50">
        <v>2372.1</v>
      </c>
      <c r="AJ18" s="50">
        <v>2373.5</v>
      </c>
      <c r="AK18" s="50">
        <v>2372.1</v>
      </c>
      <c r="AL18" s="50" t="s">
        <v>354</v>
      </c>
      <c r="AM18" s="50" t="s">
        <v>355</v>
      </c>
      <c r="AN18" s="50" t="s">
        <v>355</v>
      </c>
      <c r="AO18" s="50" t="s">
        <v>356</v>
      </c>
      <c r="AP18" s="50">
        <v>-47400</v>
      </c>
      <c r="AQ18" s="52">
        <v>45908</v>
      </c>
      <c r="AR18" s="46">
        <v>45930</v>
      </c>
      <c r="AS18" s="51" t="s">
        <v>107</v>
      </c>
      <c r="AT18" s="51" t="s">
        <v>108</v>
      </c>
      <c r="AU18" s="50">
        <v>2324</v>
      </c>
      <c r="AV18" s="50">
        <v>2345</v>
      </c>
      <c r="AW18" s="50">
        <v>2293.6</v>
      </c>
      <c r="AX18" s="50">
        <v>2323.9</v>
      </c>
      <c r="AY18" s="50">
        <v>2328.3000000000002</v>
      </c>
      <c r="AZ18" s="50">
        <v>2323.9</v>
      </c>
      <c r="BA18" s="50" t="s">
        <v>357</v>
      </c>
      <c r="BB18" s="50" t="s">
        <v>358</v>
      </c>
      <c r="BC18" s="50" t="s">
        <v>358</v>
      </c>
      <c r="BD18" s="50" t="s">
        <v>348</v>
      </c>
      <c r="BE18" s="50" t="s">
        <v>359</v>
      </c>
    </row>
    <row r="19" spans="1:57" x14ac:dyDescent="0.3">
      <c r="A19" s="52">
        <v>45905</v>
      </c>
      <c r="B19" s="47" t="s">
        <v>106</v>
      </c>
      <c r="C19" s="48">
        <v>2275</v>
      </c>
      <c r="D19" s="48">
        <v>2293.5</v>
      </c>
      <c r="E19" s="48">
        <v>2248</v>
      </c>
      <c r="F19" s="48">
        <v>2278.8000000000002</v>
      </c>
      <c r="G19" s="48">
        <v>2282.5</v>
      </c>
      <c r="H19" s="48">
        <v>2281.4</v>
      </c>
      <c r="I19" s="48">
        <v>2273.81</v>
      </c>
      <c r="J19" s="48">
        <v>3211</v>
      </c>
      <c r="K19" s="48">
        <v>2025</v>
      </c>
      <c r="L19" s="49" t="s">
        <v>360</v>
      </c>
      <c r="M19" s="49" t="s">
        <v>361</v>
      </c>
      <c r="N19" s="50">
        <v>28096</v>
      </c>
      <c r="O19" s="52">
        <v>45846</v>
      </c>
      <c r="P19" s="46">
        <v>45869</v>
      </c>
      <c r="Q19" s="48">
        <v>2589</v>
      </c>
      <c r="R19" s="48">
        <v>2609.8000000000002</v>
      </c>
      <c r="S19" s="48">
        <v>2581.1999999999998</v>
      </c>
      <c r="T19" s="48">
        <v>2605.1</v>
      </c>
      <c r="U19" s="48">
        <v>2601.5</v>
      </c>
      <c r="V19" s="48">
        <v>2605.1</v>
      </c>
      <c r="W19" s="48" t="s">
        <v>362</v>
      </c>
      <c r="X19" s="48" t="s">
        <v>363</v>
      </c>
      <c r="Y19" s="49" t="s">
        <v>363</v>
      </c>
      <c r="Z19" s="49" t="s">
        <v>364</v>
      </c>
      <c r="AA19" s="50">
        <v>-20400</v>
      </c>
      <c r="AB19" s="52">
        <v>45870</v>
      </c>
      <c r="AC19" s="46">
        <v>45897</v>
      </c>
      <c r="AD19" s="47" t="s">
        <v>107</v>
      </c>
      <c r="AE19" s="47" t="s">
        <v>108</v>
      </c>
      <c r="AF19" s="48">
        <v>2435.6</v>
      </c>
      <c r="AG19" s="48">
        <v>2455</v>
      </c>
      <c r="AH19" s="48">
        <v>2338.1999999999998</v>
      </c>
      <c r="AI19" s="48">
        <v>2356.4</v>
      </c>
      <c r="AJ19" s="48">
        <v>2339.6999999999998</v>
      </c>
      <c r="AK19" s="48">
        <v>2356.4</v>
      </c>
      <c r="AL19" s="48" t="s">
        <v>365</v>
      </c>
      <c r="AM19" s="48" t="s">
        <v>366</v>
      </c>
      <c r="AN19" s="49" t="s">
        <v>366</v>
      </c>
      <c r="AO19" s="49" t="s">
        <v>367</v>
      </c>
      <c r="AP19" s="49" t="s">
        <v>368</v>
      </c>
      <c r="AQ19" s="52">
        <v>45905</v>
      </c>
      <c r="AR19" s="46">
        <v>45930</v>
      </c>
      <c r="AS19" s="51" t="s">
        <v>107</v>
      </c>
      <c r="AT19" s="51" t="s">
        <v>108</v>
      </c>
      <c r="AU19" s="50">
        <v>2279.3000000000002</v>
      </c>
      <c r="AV19" s="50">
        <v>2303.6</v>
      </c>
      <c r="AW19" s="50">
        <v>2254.8000000000002</v>
      </c>
      <c r="AX19" s="50">
        <v>2292.5</v>
      </c>
      <c r="AY19" s="50">
        <v>2295.1</v>
      </c>
      <c r="AZ19" s="50">
        <v>2292.5</v>
      </c>
      <c r="BA19" s="50" t="s">
        <v>369</v>
      </c>
      <c r="BB19" s="50" t="s">
        <v>370</v>
      </c>
      <c r="BC19" s="50" t="s">
        <v>370</v>
      </c>
      <c r="BD19" s="50" t="s">
        <v>371</v>
      </c>
      <c r="BE19" s="50">
        <v>-72300</v>
      </c>
    </row>
    <row r="20" spans="1:57" x14ac:dyDescent="0.3">
      <c r="A20" s="52">
        <v>45904</v>
      </c>
      <c r="B20" s="47" t="s">
        <v>106</v>
      </c>
      <c r="C20" s="48">
        <v>2309.9</v>
      </c>
      <c r="D20" s="48">
        <v>2317.3000000000002</v>
      </c>
      <c r="E20" s="48">
        <v>2275</v>
      </c>
      <c r="F20" s="48">
        <v>2288.6999999999998</v>
      </c>
      <c r="G20" s="48">
        <v>2280</v>
      </c>
      <c r="H20" s="48">
        <v>2278.8000000000002</v>
      </c>
      <c r="I20" s="48">
        <v>2291.33</v>
      </c>
      <c r="J20" s="48">
        <v>3211</v>
      </c>
      <c r="K20" s="48">
        <v>2025</v>
      </c>
      <c r="L20" s="49" t="s">
        <v>372</v>
      </c>
      <c r="M20" s="49" t="s">
        <v>373</v>
      </c>
      <c r="N20" s="50">
        <v>29912</v>
      </c>
      <c r="O20" s="52">
        <v>45845</v>
      </c>
      <c r="P20" s="46">
        <v>45869</v>
      </c>
      <c r="Q20" s="48">
        <v>2606.1999999999998</v>
      </c>
      <c r="R20" s="48">
        <v>2613.6</v>
      </c>
      <c r="S20" s="48">
        <v>2583.8000000000002</v>
      </c>
      <c r="T20" s="48">
        <v>2588.9</v>
      </c>
      <c r="U20" s="48">
        <v>2592.6999999999998</v>
      </c>
      <c r="V20" s="48">
        <v>2588.9</v>
      </c>
      <c r="W20" s="48" t="s">
        <v>374</v>
      </c>
      <c r="X20" s="48" t="s">
        <v>375</v>
      </c>
      <c r="Y20" s="49" t="s">
        <v>375</v>
      </c>
      <c r="Z20" s="49" t="s">
        <v>376</v>
      </c>
      <c r="AA20" s="50">
        <v>-68400</v>
      </c>
      <c r="AB20" s="46">
        <v>45869</v>
      </c>
      <c r="AC20" s="46">
        <v>45897</v>
      </c>
      <c r="AD20" s="47" t="s">
        <v>107</v>
      </c>
      <c r="AE20" s="47" t="s">
        <v>108</v>
      </c>
      <c r="AF20" s="48">
        <v>2525.1999999999998</v>
      </c>
      <c r="AG20" s="48">
        <v>2529.9</v>
      </c>
      <c r="AH20" s="48">
        <v>2430</v>
      </c>
      <c r="AI20" s="48">
        <v>2440.1</v>
      </c>
      <c r="AJ20" s="48">
        <v>2438.6</v>
      </c>
      <c r="AK20" s="48">
        <v>2440.1</v>
      </c>
      <c r="AL20" s="48" t="s">
        <v>377</v>
      </c>
      <c r="AM20" s="48" t="s">
        <v>378</v>
      </c>
      <c r="AN20" s="49" t="s">
        <v>378</v>
      </c>
      <c r="AO20" s="49" t="s">
        <v>379</v>
      </c>
      <c r="AP20" s="49" t="s">
        <v>380</v>
      </c>
      <c r="AQ20" s="52">
        <v>45904</v>
      </c>
      <c r="AR20" s="46">
        <v>45930</v>
      </c>
      <c r="AS20" s="51" t="s">
        <v>107</v>
      </c>
      <c r="AT20" s="51" t="s">
        <v>108</v>
      </c>
      <c r="AU20" s="50">
        <v>2310.3000000000002</v>
      </c>
      <c r="AV20" s="50">
        <v>2325.6</v>
      </c>
      <c r="AW20" s="50">
        <v>2282.3000000000002</v>
      </c>
      <c r="AX20" s="50">
        <v>2286.9</v>
      </c>
      <c r="AY20" s="50">
        <v>2293.5</v>
      </c>
      <c r="AZ20" s="50">
        <v>2286.9</v>
      </c>
      <c r="BA20" s="50" t="s">
        <v>381</v>
      </c>
      <c r="BB20" s="50" t="s">
        <v>382</v>
      </c>
      <c r="BC20" s="50" t="s">
        <v>382</v>
      </c>
      <c r="BD20" s="50" t="s">
        <v>383</v>
      </c>
      <c r="BE20" s="50">
        <v>-81300</v>
      </c>
    </row>
    <row r="21" spans="1:57" x14ac:dyDescent="0.3">
      <c r="A21" s="52">
        <v>45903</v>
      </c>
      <c r="B21" s="47" t="s">
        <v>106</v>
      </c>
      <c r="C21" s="48">
        <v>2285</v>
      </c>
      <c r="D21" s="48">
        <v>2293</v>
      </c>
      <c r="E21" s="48">
        <v>2263.1</v>
      </c>
      <c r="F21" s="48">
        <v>2274.1999999999998</v>
      </c>
      <c r="G21" s="48">
        <v>2292</v>
      </c>
      <c r="H21" s="48">
        <v>2288.6999999999998</v>
      </c>
      <c r="I21" s="48">
        <v>2279.5</v>
      </c>
      <c r="J21" s="48">
        <v>3211</v>
      </c>
      <c r="K21" s="48">
        <v>2025</v>
      </c>
      <c r="L21" s="49" t="s">
        <v>384</v>
      </c>
      <c r="M21" s="49" t="s">
        <v>385</v>
      </c>
      <c r="N21" s="50">
        <v>28773</v>
      </c>
      <c r="O21" s="52">
        <v>45842</v>
      </c>
      <c r="P21" s="46">
        <v>45869</v>
      </c>
      <c r="Q21" s="48">
        <v>2626.5</v>
      </c>
      <c r="R21" s="48">
        <v>2627.6</v>
      </c>
      <c r="S21" s="48">
        <v>2590.3000000000002</v>
      </c>
      <c r="T21" s="48">
        <v>2609.6</v>
      </c>
      <c r="U21" s="48">
        <v>2608</v>
      </c>
      <c r="V21" s="48">
        <v>2609.6</v>
      </c>
      <c r="W21" s="48" t="s">
        <v>386</v>
      </c>
      <c r="X21" s="48" t="s">
        <v>387</v>
      </c>
      <c r="Y21" s="49" t="s">
        <v>387</v>
      </c>
      <c r="Z21" s="49" t="s">
        <v>388</v>
      </c>
      <c r="AA21" s="49" t="s">
        <v>389</v>
      </c>
      <c r="AB21" s="46">
        <v>45868</v>
      </c>
      <c r="AC21" s="46">
        <v>45897</v>
      </c>
      <c r="AD21" s="47" t="s">
        <v>107</v>
      </c>
      <c r="AE21" s="47" t="s">
        <v>108</v>
      </c>
      <c r="AF21" s="48">
        <v>2560.1</v>
      </c>
      <c r="AG21" s="48">
        <v>2565</v>
      </c>
      <c r="AH21" s="48">
        <v>2538</v>
      </c>
      <c r="AI21" s="48">
        <v>2544.6999999999998</v>
      </c>
      <c r="AJ21" s="48">
        <v>2542</v>
      </c>
      <c r="AK21" s="48">
        <v>2544.6999999999998</v>
      </c>
      <c r="AL21" s="48" t="s">
        <v>390</v>
      </c>
      <c r="AM21" s="48" t="s">
        <v>391</v>
      </c>
      <c r="AN21" s="49" t="s">
        <v>391</v>
      </c>
      <c r="AO21" s="49" t="s">
        <v>392</v>
      </c>
      <c r="AP21" s="49" t="s">
        <v>393</v>
      </c>
      <c r="AQ21" s="52">
        <v>45903</v>
      </c>
      <c r="AR21" s="46">
        <v>45930</v>
      </c>
      <c r="AS21" s="51" t="s">
        <v>107</v>
      </c>
      <c r="AT21" s="51" t="s">
        <v>108</v>
      </c>
      <c r="AU21" s="50">
        <v>2291.1999999999998</v>
      </c>
      <c r="AV21" s="50">
        <v>2305</v>
      </c>
      <c r="AW21" s="50">
        <v>2274.3000000000002</v>
      </c>
      <c r="AX21" s="50">
        <v>2300.5</v>
      </c>
      <c r="AY21" s="50">
        <v>2303.9</v>
      </c>
      <c r="AZ21" s="50">
        <v>2300.5</v>
      </c>
      <c r="BA21" s="50" t="s">
        <v>394</v>
      </c>
      <c r="BB21" s="50" t="s">
        <v>395</v>
      </c>
      <c r="BC21" s="50" t="s">
        <v>395</v>
      </c>
      <c r="BD21" s="50" t="s">
        <v>396</v>
      </c>
      <c r="BE21" s="50">
        <v>-28200</v>
      </c>
    </row>
    <row r="22" spans="1:57" x14ac:dyDescent="0.3">
      <c r="A22" s="52">
        <v>45902</v>
      </c>
      <c r="B22" s="47" t="s">
        <v>106</v>
      </c>
      <c r="C22" s="48">
        <v>2291</v>
      </c>
      <c r="D22" s="48">
        <v>2302</v>
      </c>
      <c r="E22" s="48">
        <v>2264</v>
      </c>
      <c r="F22" s="48">
        <v>2284.1999999999998</v>
      </c>
      <c r="G22" s="48">
        <v>2278</v>
      </c>
      <c r="H22" s="48">
        <v>2274.1999999999998</v>
      </c>
      <c r="I22" s="48">
        <v>2283.41</v>
      </c>
      <c r="J22" s="48">
        <v>3211</v>
      </c>
      <c r="K22" s="48">
        <v>2025</v>
      </c>
      <c r="L22" s="49" t="s">
        <v>397</v>
      </c>
      <c r="M22" s="49" t="s">
        <v>398</v>
      </c>
      <c r="N22" s="50">
        <v>37899</v>
      </c>
      <c r="O22" s="52">
        <v>45841</v>
      </c>
      <c r="P22" s="46">
        <v>45869</v>
      </c>
      <c r="Q22" s="48">
        <v>2640.1</v>
      </c>
      <c r="R22" s="48">
        <v>2658.7</v>
      </c>
      <c r="S22" s="48">
        <v>2617.3000000000002</v>
      </c>
      <c r="T22" s="48">
        <v>2626.6</v>
      </c>
      <c r="U22" s="48">
        <v>2624.4</v>
      </c>
      <c r="V22" s="48">
        <v>2626.6</v>
      </c>
      <c r="W22" s="48" t="s">
        <v>399</v>
      </c>
      <c r="X22" s="48" t="s">
        <v>400</v>
      </c>
      <c r="Y22" s="49" t="s">
        <v>400</v>
      </c>
      <c r="Z22" s="49" t="s">
        <v>401</v>
      </c>
      <c r="AA22" s="50">
        <v>-7200</v>
      </c>
      <c r="AB22" s="46">
        <v>45867</v>
      </c>
      <c r="AC22" s="46">
        <v>45897</v>
      </c>
      <c r="AD22" s="47" t="s">
        <v>107</v>
      </c>
      <c r="AE22" s="47" t="s">
        <v>108</v>
      </c>
      <c r="AF22" s="48">
        <v>2546.8000000000002</v>
      </c>
      <c r="AG22" s="48">
        <v>2574.8000000000002</v>
      </c>
      <c r="AH22" s="48">
        <v>2520.1</v>
      </c>
      <c r="AI22" s="48">
        <v>2565.8000000000002</v>
      </c>
      <c r="AJ22" s="48">
        <v>2566.5</v>
      </c>
      <c r="AK22" s="48">
        <v>2565.8000000000002</v>
      </c>
      <c r="AL22" s="48" t="s">
        <v>402</v>
      </c>
      <c r="AM22" s="48" t="s">
        <v>403</v>
      </c>
      <c r="AN22" s="49" t="s">
        <v>403</v>
      </c>
      <c r="AO22" s="49" t="s">
        <v>404</v>
      </c>
      <c r="AP22" s="49" t="s">
        <v>405</v>
      </c>
      <c r="AQ22" s="52">
        <v>45902</v>
      </c>
      <c r="AR22" s="46">
        <v>45930</v>
      </c>
      <c r="AS22" s="51" t="s">
        <v>107</v>
      </c>
      <c r="AT22" s="51" t="s">
        <v>108</v>
      </c>
      <c r="AU22" s="50">
        <v>2299.6</v>
      </c>
      <c r="AV22" s="50">
        <v>2315</v>
      </c>
      <c r="AW22" s="50">
        <v>2275.5</v>
      </c>
      <c r="AX22" s="50">
        <v>2284.1</v>
      </c>
      <c r="AY22" s="50">
        <v>2286.1</v>
      </c>
      <c r="AZ22" s="50">
        <v>2284.1</v>
      </c>
      <c r="BA22" s="50" t="s">
        <v>406</v>
      </c>
      <c r="BB22" s="50" t="s">
        <v>407</v>
      </c>
      <c r="BC22" s="50" t="s">
        <v>407</v>
      </c>
      <c r="BD22" s="50" t="s">
        <v>408</v>
      </c>
      <c r="BE22" s="50">
        <v>11700</v>
      </c>
    </row>
    <row r="23" spans="1:57" x14ac:dyDescent="0.3">
      <c r="A23" s="52">
        <v>45901</v>
      </c>
      <c r="B23" s="47" t="s">
        <v>106</v>
      </c>
      <c r="C23" s="48">
        <v>2259</v>
      </c>
      <c r="D23" s="48">
        <v>2288</v>
      </c>
      <c r="E23" s="48">
        <v>2252.1</v>
      </c>
      <c r="F23" s="48">
        <v>2244.6999999999998</v>
      </c>
      <c r="G23" s="48">
        <v>2286.6</v>
      </c>
      <c r="H23" s="48">
        <v>2284.1999999999998</v>
      </c>
      <c r="I23" s="48">
        <v>2274.83</v>
      </c>
      <c r="J23" s="48">
        <v>3211</v>
      </c>
      <c r="K23" s="48">
        <v>2025</v>
      </c>
      <c r="L23" s="49" t="s">
        <v>409</v>
      </c>
      <c r="M23" s="49" t="s">
        <v>410</v>
      </c>
      <c r="N23" s="50">
        <v>29502</v>
      </c>
      <c r="O23" s="52">
        <v>45840</v>
      </c>
      <c r="P23" s="46">
        <v>45869</v>
      </c>
      <c r="Q23" s="48">
        <v>2641.5</v>
      </c>
      <c r="R23" s="48">
        <v>2658.1</v>
      </c>
      <c r="S23" s="48">
        <v>2624</v>
      </c>
      <c r="T23" s="48">
        <v>2644.4</v>
      </c>
      <c r="U23" s="48">
        <v>2643.9</v>
      </c>
      <c r="V23" s="48">
        <v>2644.4</v>
      </c>
      <c r="W23" s="48" t="s">
        <v>411</v>
      </c>
      <c r="X23" s="48" t="s">
        <v>412</v>
      </c>
      <c r="Y23" s="49" t="s">
        <v>412</v>
      </c>
      <c r="Z23" s="49" t="s">
        <v>413</v>
      </c>
      <c r="AA23" s="49" t="s">
        <v>414</v>
      </c>
      <c r="AB23" s="46">
        <v>45866</v>
      </c>
      <c r="AC23" s="46">
        <v>45897</v>
      </c>
      <c r="AD23" s="47" t="s">
        <v>107</v>
      </c>
      <c r="AE23" s="47" t="s">
        <v>108</v>
      </c>
      <c r="AF23" s="48">
        <v>2564.1</v>
      </c>
      <c r="AG23" s="48">
        <v>2602.1999999999998</v>
      </c>
      <c r="AH23" s="48">
        <v>2526.8000000000002</v>
      </c>
      <c r="AI23" s="48">
        <v>2538.3000000000002</v>
      </c>
      <c r="AJ23" s="48">
        <v>2538.1999999999998</v>
      </c>
      <c r="AK23" s="48">
        <v>2538.3000000000002</v>
      </c>
      <c r="AL23" s="48" t="s">
        <v>415</v>
      </c>
      <c r="AM23" s="48" t="s">
        <v>416</v>
      </c>
      <c r="AN23" s="49" t="s">
        <v>416</v>
      </c>
      <c r="AO23" s="49" t="s">
        <v>417</v>
      </c>
      <c r="AP23" s="49" t="s">
        <v>418</v>
      </c>
      <c r="AQ23" s="52">
        <v>45901</v>
      </c>
      <c r="AR23" s="46">
        <v>45930</v>
      </c>
      <c r="AS23" s="51" t="s">
        <v>107</v>
      </c>
      <c r="AT23" s="51" t="s">
        <v>108</v>
      </c>
      <c r="AU23" s="50">
        <v>2274.6</v>
      </c>
      <c r="AV23" s="50">
        <v>2303.3000000000002</v>
      </c>
      <c r="AW23" s="50">
        <v>2262.6</v>
      </c>
      <c r="AX23" s="50">
        <v>2295.8000000000002</v>
      </c>
      <c r="AY23" s="50">
        <v>2294.5</v>
      </c>
      <c r="AZ23" s="50">
        <v>2295.8000000000002</v>
      </c>
      <c r="BA23" s="50" t="s">
        <v>419</v>
      </c>
      <c r="BB23" s="50" t="s">
        <v>420</v>
      </c>
      <c r="BC23" s="50" t="s">
        <v>420</v>
      </c>
      <c r="BD23" s="50" t="s">
        <v>421</v>
      </c>
      <c r="BE23" s="50">
        <v>-93900</v>
      </c>
    </row>
    <row r="24" spans="1:57" x14ac:dyDescent="0.3">
      <c r="A24" s="52">
        <v>45898</v>
      </c>
      <c r="B24" s="47" t="s">
        <v>106</v>
      </c>
      <c r="C24" s="48">
        <v>2283</v>
      </c>
      <c r="D24" s="48">
        <v>2289.6999999999998</v>
      </c>
      <c r="E24" s="48">
        <v>2240</v>
      </c>
      <c r="F24" s="48">
        <v>2275.1999999999998</v>
      </c>
      <c r="G24" s="48">
        <v>2247.9</v>
      </c>
      <c r="H24" s="48">
        <v>2244.6999999999998</v>
      </c>
      <c r="I24" s="48">
        <v>2257.7199999999998</v>
      </c>
      <c r="J24" s="48">
        <v>3211</v>
      </c>
      <c r="K24" s="48">
        <v>2025</v>
      </c>
      <c r="L24" s="49" t="s">
        <v>422</v>
      </c>
      <c r="M24" s="49" t="s">
        <v>423</v>
      </c>
      <c r="N24" s="50">
        <v>50217</v>
      </c>
      <c r="O24" s="52">
        <v>45839</v>
      </c>
      <c r="P24" s="46">
        <v>45869</v>
      </c>
      <c r="Q24" s="48">
        <v>2632.9</v>
      </c>
      <c r="R24" s="48">
        <v>2654.8</v>
      </c>
      <c r="S24" s="48">
        <v>2615</v>
      </c>
      <c r="T24" s="48">
        <v>2631.7</v>
      </c>
      <c r="U24" s="48">
        <v>2633.7</v>
      </c>
      <c r="V24" s="48">
        <v>2631.7</v>
      </c>
      <c r="W24" s="48" t="s">
        <v>424</v>
      </c>
      <c r="X24" s="48" t="s">
        <v>425</v>
      </c>
      <c r="Y24" s="49" t="s">
        <v>425</v>
      </c>
      <c r="Z24" s="49" t="s">
        <v>426</v>
      </c>
      <c r="AA24" s="50">
        <v>30900</v>
      </c>
      <c r="AB24" s="46">
        <v>45863</v>
      </c>
      <c r="AC24" s="46">
        <v>45897</v>
      </c>
      <c r="AD24" s="47" t="s">
        <v>107</v>
      </c>
      <c r="AE24" s="47" t="s">
        <v>108</v>
      </c>
      <c r="AF24" s="48">
        <v>2618.6</v>
      </c>
      <c r="AG24" s="48">
        <v>2636.6</v>
      </c>
      <c r="AH24" s="48">
        <v>2558.4</v>
      </c>
      <c r="AI24" s="48">
        <v>2563.8000000000002</v>
      </c>
      <c r="AJ24" s="48">
        <v>2562.1</v>
      </c>
      <c r="AK24" s="48">
        <v>2563.8000000000002</v>
      </c>
      <c r="AL24" s="48" t="s">
        <v>427</v>
      </c>
      <c r="AM24" s="48" t="s">
        <v>428</v>
      </c>
      <c r="AN24" s="49" t="s">
        <v>428</v>
      </c>
      <c r="AO24" s="49" t="s">
        <v>429</v>
      </c>
      <c r="AP24" s="49" t="s">
        <v>430</v>
      </c>
      <c r="AQ24" s="46">
        <v>45898</v>
      </c>
      <c r="AR24" s="46">
        <v>45930</v>
      </c>
      <c r="AS24" s="47" t="s">
        <v>107</v>
      </c>
      <c r="AT24" s="47" t="s">
        <v>108</v>
      </c>
      <c r="AU24" s="48">
        <v>2287</v>
      </c>
      <c r="AV24" s="48">
        <v>2300.4</v>
      </c>
      <c r="AW24" s="48">
        <v>2254.3000000000002</v>
      </c>
      <c r="AX24" s="48">
        <v>2259.3000000000002</v>
      </c>
      <c r="AY24" s="48">
        <v>2262</v>
      </c>
      <c r="AZ24" s="48">
        <v>2259.3000000000002</v>
      </c>
      <c r="BA24" s="49" t="s">
        <v>431</v>
      </c>
      <c r="BB24" s="49" t="s">
        <v>432</v>
      </c>
      <c r="BC24" s="49" t="s">
        <v>432</v>
      </c>
      <c r="BD24" s="49" t="s">
        <v>433</v>
      </c>
      <c r="BE24" s="49" t="s">
        <v>434</v>
      </c>
    </row>
    <row r="25" spans="1:57" x14ac:dyDescent="0.3">
      <c r="A25" s="46">
        <v>45897</v>
      </c>
      <c r="B25" s="47" t="s">
        <v>106</v>
      </c>
      <c r="C25" s="48">
        <v>2271.9</v>
      </c>
      <c r="D25" s="48">
        <v>2327.9</v>
      </c>
      <c r="E25" s="48">
        <v>2255</v>
      </c>
      <c r="F25" s="48">
        <v>2272</v>
      </c>
      <c r="G25" s="48">
        <v>2282.1</v>
      </c>
      <c r="H25" s="48">
        <v>2275.1999999999998</v>
      </c>
      <c r="I25" s="48">
        <v>2295.19</v>
      </c>
      <c r="J25" s="48">
        <v>3211</v>
      </c>
      <c r="K25" s="48">
        <v>2025</v>
      </c>
      <c r="L25" s="49" t="s">
        <v>435</v>
      </c>
      <c r="M25" s="49" t="s">
        <v>436</v>
      </c>
      <c r="N25" s="50">
        <v>55327</v>
      </c>
      <c r="Q25" s="53"/>
      <c r="R25" s="53"/>
      <c r="S25" s="54"/>
      <c r="T25" s="54"/>
      <c r="U25" s="54"/>
      <c r="V25" s="54"/>
      <c r="W25" s="54"/>
      <c r="X25" s="54"/>
      <c r="Y25" s="55"/>
      <c r="Z25" s="56"/>
      <c r="AA25" s="56"/>
      <c r="AB25" s="46">
        <v>45862</v>
      </c>
      <c r="AC25" s="46">
        <v>45897</v>
      </c>
      <c r="AD25" s="47" t="s">
        <v>107</v>
      </c>
      <c r="AE25" s="47" t="s">
        <v>108</v>
      </c>
      <c r="AF25" s="48">
        <v>2626.6</v>
      </c>
      <c r="AG25" s="48">
        <v>2645</v>
      </c>
      <c r="AH25" s="48">
        <v>2613.9</v>
      </c>
      <c r="AI25" s="48">
        <v>2627.3</v>
      </c>
      <c r="AJ25" s="48">
        <v>2630.3</v>
      </c>
      <c r="AK25" s="48">
        <v>2627.3</v>
      </c>
      <c r="AL25" s="48" t="s">
        <v>437</v>
      </c>
      <c r="AM25" s="48" t="s">
        <v>438</v>
      </c>
      <c r="AN25" s="49" t="s">
        <v>438</v>
      </c>
      <c r="AO25" s="49" t="s">
        <v>439</v>
      </c>
      <c r="AP25" s="49" t="s">
        <v>440</v>
      </c>
      <c r="AQ25" s="46">
        <v>45897</v>
      </c>
      <c r="AR25" s="46">
        <v>45930</v>
      </c>
      <c r="AS25" s="47" t="s">
        <v>107</v>
      </c>
      <c r="AT25" s="47" t="s">
        <v>108</v>
      </c>
      <c r="AU25" s="48">
        <v>2248.1999999999998</v>
      </c>
      <c r="AV25" s="48">
        <v>2337.8000000000002</v>
      </c>
      <c r="AW25" s="48">
        <v>2248.1999999999998</v>
      </c>
      <c r="AX25" s="48">
        <v>2287.1</v>
      </c>
      <c r="AY25" s="48">
        <v>2293.8000000000002</v>
      </c>
      <c r="AZ25" s="48">
        <v>2287.1</v>
      </c>
      <c r="BA25" s="49" t="s">
        <v>441</v>
      </c>
      <c r="BB25" s="49" t="s">
        <v>442</v>
      </c>
      <c r="BC25" s="49" t="s">
        <v>442</v>
      </c>
      <c r="BD25" s="49" t="s">
        <v>443</v>
      </c>
      <c r="BE25" s="49" t="s">
        <v>444</v>
      </c>
    </row>
    <row r="26" spans="1:57" x14ac:dyDescent="0.3">
      <c r="A26" s="46">
        <v>45895</v>
      </c>
      <c r="B26" s="47" t="s">
        <v>106</v>
      </c>
      <c r="C26" s="48">
        <v>2304</v>
      </c>
      <c r="D26" s="48">
        <v>2309.3000000000002</v>
      </c>
      <c r="E26" s="48">
        <v>2249.4</v>
      </c>
      <c r="F26" s="48">
        <v>2302.9</v>
      </c>
      <c r="G26" s="48">
        <v>2286</v>
      </c>
      <c r="H26" s="48">
        <v>2272</v>
      </c>
      <c r="I26" s="48">
        <v>2271.65</v>
      </c>
      <c r="J26" s="48">
        <v>3211</v>
      </c>
      <c r="K26" s="48">
        <v>2025</v>
      </c>
      <c r="L26" s="49" t="s">
        <v>445</v>
      </c>
      <c r="M26" s="49" t="s">
        <v>446</v>
      </c>
      <c r="N26" s="50">
        <v>49449</v>
      </c>
      <c r="Q26" s="53"/>
      <c r="R26" s="53"/>
      <c r="S26" s="54"/>
      <c r="T26" s="54"/>
      <c r="U26" s="54"/>
      <c r="V26" s="54"/>
      <c r="W26" s="54"/>
      <c r="X26" s="54"/>
      <c r="Y26" s="55"/>
      <c r="Z26" s="56"/>
      <c r="AA26" s="56"/>
      <c r="AB26" s="46">
        <v>45861</v>
      </c>
      <c r="AC26" s="46">
        <v>45897</v>
      </c>
      <c r="AD26" s="47" t="s">
        <v>107</v>
      </c>
      <c r="AE26" s="47" t="s">
        <v>108</v>
      </c>
      <c r="AF26" s="50">
        <v>2613.8000000000002</v>
      </c>
      <c r="AG26" s="50">
        <v>2645</v>
      </c>
      <c r="AH26" s="50">
        <v>2611.5</v>
      </c>
      <c r="AI26" s="50">
        <v>2636.5</v>
      </c>
      <c r="AJ26" s="50">
        <v>2636.8</v>
      </c>
      <c r="AK26" s="50">
        <v>2636.5</v>
      </c>
      <c r="AL26" s="50" t="s">
        <v>447</v>
      </c>
      <c r="AM26" s="50" t="s">
        <v>448</v>
      </c>
      <c r="AN26" s="50" t="s">
        <v>448</v>
      </c>
      <c r="AO26" s="50" t="s">
        <v>449</v>
      </c>
      <c r="AP26" s="50">
        <v>54600</v>
      </c>
      <c r="AQ26" s="46">
        <v>45895</v>
      </c>
      <c r="AR26" s="46">
        <v>45930</v>
      </c>
      <c r="AS26" s="51" t="s">
        <v>107</v>
      </c>
      <c r="AT26" s="51" t="s">
        <v>108</v>
      </c>
      <c r="AU26" s="50">
        <v>2330.1999999999998</v>
      </c>
      <c r="AV26" s="50">
        <v>2330.1999999999998</v>
      </c>
      <c r="AW26" s="50">
        <v>2260</v>
      </c>
      <c r="AX26" s="50">
        <v>2281.1999999999998</v>
      </c>
      <c r="AY26" s="50">
        <v>2291.1</v>
      </c>
      <c r="AZ26" s="50">
        <v>2281.1999999999998</v>
      </c>
      <c r="BA26" s="50" t="s">
        <v>450</v>
      </c>
      <c r="BB26" s="50" t="s">
        <v>451</v>
      </c>
      <c r="BC26" s="50" t="s">
        <v>451</v>
      </c>
      <c r="BD26" s="50" t="s">
        <v>452</v>
      </c>
      <c r="BE26" s="50" t="s">
        <v>453</v>
      </c>
    </row>
    <row r="27" spans="1:57" x14ac:dyDescent="0.3">
      <c r="A27" s="46">
        <v>45894</v>
      </c>
      <c r="B27" s="47" t="s">
        <v>106</v>
      </c>
      <c r="C27" s="48">
        <v>2335.6999999999998</v>
      </c>
      <c r="D27" s="48">
        <v>2348.4</v>
      </c>
      <c r="E27" s="48">
        <v>2300</v>
      </c>
      <c r="F27" s="48">
        <v>2324.9</v>
      </c>
      <c r="G27" s="48">
        <v>2302.8000000000002</v>
      </c>
      <c r="H27" s="48">
        <v>2302.9</v>
      </c>
      <c r="I27" s="48">
        <v>2317.89</v>
      </c>
      <c r="J27" s="48">
        <v>3211</v>
      </c>
      <c r="K27" s="48">
        <v>2025</v>
      </c>
      <c r="L27" s="49" t="s">
        <v>454</v>
      </c>
      <c r="M27" s="49" t="s">
        <v>455</v>
      </c>
      <c r="N27" s="50">
        <v>28277</v>
      </c>
      <c r="Q27" s="53"/>
      <c r="R27" s="53"/>
      <c r="S27" s="54"/>
      <c r="T27" s="54"/>
      <c r="U27" s="54"/>
      <c r="V27" s="54"/>
      <c r="W27" s="54"/>
      <c r="X27" s="54"/>
      <c r="Y27" s="55"/>
      <c r="Z27" s="56"/>
      <c r="AA27" s="56"/>
      <c r="AB27" s="46">
        <v>45860</v>
      </c>
      <c r="AC27" s="46">
        <v>45897</v>
      </c>
      <c r="AD27" s="47" t="s">
        <v>107</v>
      </c>
      <c r="AE27" s="47" t="s">
        <v>108</v>
      </c>
      <c r="AF27" s="50">
        <v>2644.6</v>
      </c>
      <c r="AG27" s="50">
        <v>2646.8</v>
      </c>
      <c r="AH27" s="50">
        <v>2601</v>
      </c>
      <c r="AI27" s="50">
        <v>2608.1999999999998</v>
      </c>
      <c r="AJ27" s="50">
        <v>2611.1</v>
      </c>
      <c r="AK27" s="50">
        <v>2608.1999999999998</v>
      </c>
      <c r="AL27" s="50" t="s">
        <v>456</v>
      </c>
      <c r="AM27" s="50" t="s">
        <v>457</v>
      </c>
      <c r="AN27" s="50" t="s">
        <v>457</v>
      </c>
      <c r="AO27" s="50" t="s">
        <v>458</v>
      </c>
      <c r="AP27" s="50">
        <v>78900</v>
      </c>
      <c r="AQ27" s="46">
        <v>45894</v>
      </c>
      <c r="AR27" s="46">
        <v>45930</v>
      </c>
      <c r="AS27" s="51" t="s">
        <v>107</v>
      </c>
      <c r="AT27" s="51" t="s">
        <v>108</v>
      </c>
      <c r="AU27" s="50">
        <v>2353</v>
      </c>
      <c r="AV27" s="50">
        <v>2362.3000000000002</v>
      </c>
      <c r="AW27" s="50">
        <v>2310.9</v>
      </c>
      <c r="AX27" s="50">
        <v>2314</v>
      </c>
      <c r="AY27" s="50">
        <v>2315.1</v>
      </c>
      <c r="AZ27" s="50">
        <v>2314</v>
      </c>
      <c r="BA27" s="50" t="s">
        <v>459</v>
      </c>
      <c r="BB27" s="50" t="s">
        <v>460</v>
      </c>
      <c r="BC27" s="50" t="s">
        <v>460</v>
      </c>
      <c r="BD27" s="50" t="s">
        <v>461</v>
      </c>
      <c r="BE27" s="50" t="s">
        <v>462</v>
      </c>
    </row>
    <row r="28" spans="1:57" x14ac:dyDescent="0.3">
      <c r="A28" s="46">
        <v>45891</v>
      </c>
      <c r="B28" s="47" t="s">
        <v>106</v>
      </c>
      <c r="C28" s="48">
        <v>2369.9</v>
      </c>
      <c r="D28" s="48">
        <v>2376.3000000000002</v>
      </c>
      <c r="E28" s="48">
        <v>2321</v>
      </c>
      <c r="F28" s="48">
        <v>2377.1999999999998</v>
      </c>
      <c r="G28" s="48">
        <v>2323</v>
      </c>
      <c r="H28" s="48">
        <v>2324.9</v>
      </c>
      <c r="I28" s="48">
        <v>2338.1799999999998</v>
      </c>
      <c r="J28" s="48">
        <v>3211</v>
      </c>
      <c r="K28" s="48">
        <v>2025</v>
      </c>
      <c r="L28" s="49" t="s">
        <v>463</v>
      </c>
      <c r="M28" s="49" t="s">
        <v>464</v>
      </c>
      <c r="N28" s="50">
        <v>34341</v>
      </c>
      <c r="Q28" s="53"/>
      <c r="R28" s="53"/>
      <c r="S28" s="54"/>
      <c r="T28" s="54"/>
      <c r="U28" s="54"/>
      <c r="V28" s="54"/>
      <c r="W28" s="54"/>
      <c r="X28" s="54"/>
      <c r="Y28" s="55"/>
      <c r="Z28" s="56"/>
      <c r="AA28" s="56"/>
      <c r="AB28" s="46">
        <v>45859</v>
      </c>
      <c r="AC28" s="46">
        <v>45897</v>
      </c>
      <c r="AD28" s="47" t="s">
        <v>107</v>
      </c>
      <c r="AE28" s="47" t="s">
        <v>108</v>
      </c>
      <c r="AF28" s="50">
        <v>2613.6999999999998</v>
      </c>
      <c r="AG28" s="50">
        <v>2643.9</v>
      </c>
      <c r="AH28" s="50">
        <v>2606</v>
      </c>
      <c r="AI28" s="50">
        <v>2639.5</v>
      </c>
      <c r="AJ28" s="50">
        <v>2639</v>
      </c>
      <c r="AK28" s="50">
        <v>2639.5</v>
      </c>
      <c r="AL28" s="50" t="s">
        <v>465</v>
      </c>
      <c r="AM28" s="50" t="s">
        <v>466</v>
      </c>
      <c r="AN28" s="50" t="s">
        <v>466</v>
      </c>
      <c r="AO28" s="50" t="s">
        <v>467</v>
      </c>
      <c r="AP28" s="50">
        <v>34500</v>
      </c>
      <c r="AQ28" s="46">
        <v>45891</v>
      </c>
      <c r="AR28" s="46">
        <v>45930</v>
      </c>
      <c r="AS28" s="51" t="s">
        <v>107</v>
      </c>
      <c r="AT28" s="51" t="s">
        <v>108</v>
      </c>
      <c r="AU28" s="50">
        <v>2369.5</v>
      </c>
      <c r="AV28" s="50">
        <v>2390.1</v>
      </c>
      <c r="AW28" s="50">
        <v>2334.1</v>
      </c>
      <c r="AX28" s="50">
        <v>2336.5</v>
      </c>
      <c r="AY28" s="50">
        <v>2339</v>
      </c>
      <c r="AZ28" s="50">
        <v>2336.5</v>
      </c>
      <c r="BA28" s="50" t="s">
        <v>468</v>
      </c>
      <c r="BB28" s="50" t="s">
        <v>469</v>
      </c>
      <c r="BC28" s="50" t="s">
        <v>469</v>
      </c>
      <c r="BD28" s="50" t="s">
        <v>470</v>
      </c>
      <c r="BE28" s="50" t="s">
        <v>471</v>
      </c>
    </row>
    <row r="29" spans="1:57" x14ac:dyDescent="0.3">
      <c r="A29" s="46">
        <v>45890</v>
      </c>
      <c r="B29" s="47" t="s">
        <v>106</v>
      </c>
      <c r="C29" s="48">
        <v>2387.1</v>
      </c>
      <c r="D29" s="48">
        <v>2397</v>
      </c>
      <c r="E29" s="48">
        <v>2371.4</v>
      </c>
      <c r="F29" s="48">
        <v>2387.1</v>
      </c>
      <c r="G29" s="48">
        <v>2373</v>
      </c>
      <c r="H29" s="48">
        <v>2377.1999999999998</v>
      </c>
      <c r="I29" s="48">
        <v>2384.83</v>
      </c>
      <c r="J29" s="48">
        <v>3211</v>
      </c>
      <c r="K29" s="48">
        <v>2025</v>
      </c>
      <c r="L29" s="49" t="s">
        <v>472</v>
      </c>
      <c r="M29" s="49" t="s">
        <v>473</v>
      </c>
      <c r="N29" s="50">
        <v>24817</v>
      </c>
      <c r="Q29" s="53"/>
      <c r="R29" s="53"/>
      <c r="S29" s="54"/>
      <c r="T29" s="54"/>
      <c r="U29" s="54"/>
      <c r="V29" s="54"/>
      <c r="W29" s="54"/>
      <c r="X29" s="54"/>
      <c r="Y29" s="55"/>
      <c r="Z29" s="56"/>
      <c r="AA29" s="56"/>
      <c r="AB29" s="46">
        <v>45856</v>
      </c>
      <c r="AC29" s="46">
        <v>45897</v>
      </c>
      <c r="AD29" s="47" t="s">
        <v>107</v>
      </c>
      <c r="AE29" s="47" t="s">
        <v>108</v>
      </c>
      <c r="AF29" s="48">
        <v>2636.4</v>
      </c>
      <c r="AG29" s="48">
        <v>2649.5</v>
      </c>
      <c r="AH29" s="48">
        <v>2606</v>
      </c>
      <c r="AI29" s="48">
        <v>2618.9</v>
      </c>
      <c r="AJ29" s="48">
        <v>2619.9</v>
      </c>
      <c r="AK29" s="48">
        <v>2618.9</v>
      </c>
      <c r="AL29" s="48" t="s">
        <v>474</v>
      </c>
      <c r="AM29" s="48" t="s">
        <v>475</v>
      </c>
      <c r="AN29" s="49" t="s">
        <v>475</v>
      </c>
      <c r="AO29" s="49" t="s">
        <v>476</v>
      </c>
      <c r="AP29" s="49" t="s">
        <v>477</v>
      </c>
      <c r="AQ29" s="46">
        <v>45890</v>
      </c>
      <c r="AR29" s="46">
        <v>45930</v>
      </c>
      <c r="AS29" s="47" t="s">
        <v>107</v>
      </c>
      <c r="AT29" s="47" t="s">
        <v>108</v>
      </c>
      <c r="AU29" s="48">
        <v>2401.6999999999998</v>
      </c>
      <c r="AV29" s="48">
        <v>2412</v>
      </c>
      <c r="AW29" s="48">
        <v>2386.4</v>
      </c>
      <c r="AX29" s="48">
        <v>2393.6999999999998</v>
      </c>
      <c r="AY29" s="48">
        <v>2391.6</v>
      </c>
      <c r="AZ29" s="48">
        <v>2393.6999999999998</v>
      </c>
      <c r="BA29" s="49" t="s">
        <v>478</v>
      </c>
      <c r="BB29" s="49" t="s">
        <v>479</v>
      </c>
      <c r="BC29" s="49" t="s">
        <v>479</v>
      </c>
      <c r="BD29" s="49" t="s">
        <v>480</v>
      </c>
      <c r="BE29" s="49" t="s">
        <v>481</v>
      </c>
    </row>
    <row r="30" spans="1:57" x14ac:dyDescent="0.3">
      <c r="A30" s="46">
        <v>45889</v>
      </c>
      <c r="B30" s="47" t="s">
        <v>106</v>
      </c>
      <c r="C30" s="48">
        <v>2380</v>
      </c>
      <c r="D30" s="48">
        <v>2406</v>
      </c>
      <c r="E30" s="48">
        <v>2372.1</v>
      </c>
      <c r="F30" s="48">
        <v>2388.4</v>
      </c>
      <c r="G30" s="48">
        <v>2391</v>
      </c>
      <c r="H30" s="48">
        <v>2387.1</v>
      </c>
      <c r="I30" s="48">
        <v>2389.9299999999998</v>
      </c>
      <c r="J30" s="48">
        <v>3211</v>
      </c>
      <c r="K30" s="48">
        <v>2025</v>
      </c>
      <c r="L30" s="49" t="s">
        <v>482</v>
      </c>
      <c r="M30" s="49" t="s">
        <v>483</v>
      </c>
      <c r="N30" s="50">
        <v>34030</v>
      </c>
      <c r="Q30" s="53"/>
      <c r="R30" s="53"/>
      <c r="S30" s="54"/>
      <c r="T30" s="54"/>
      <c r="U30" s="54"/>
      <c r="V30" s="54"/>
      <c r="W30" s="54"/>
      <c r="X30" s="54"/>
      <c r="Y30" s="55"/>
      <c r="Z30" s="56"/>
      <c r="AA30" s="56"/>
      <c r="AB30" s="46">
        <v>45855</v>
      </c>
      <c r="AC30" s="46">
        <v>45897</v>
      </c>
      <c r="AD30" s="47" t="s">
        <v>107</v>
      </c>
      <c r="AE30" s="47" t="s">
        <v>108</v>
      </c>
      <c r="AF30" s="48">
        <v>2628.9</v>
      </c>
      <c r="AG30" s="48">
        <v>2677</v>
      </c>
      <c r="AH30" s="48">
        <v>2624.8</v>
      </c>
      <c r="AI30" s="48">
        <v>2639.9</v>
      </c>
      <c r="AJ30" s="48">
        <v>2643.7</v>
      </c>
      <c r="AK30" s="48">
        <v>2639.9</v>
      </c>
      <c r="AL30" s="48" t="s">
        <v>484</v>
      </c>
      <c r="AM30" s="48" t="s">
        <v>485</v>
      </c>
      <c r="AN30" s="49" t="s">
        <v>485</v>
      </c>
      <c r="AO30" s="49" t="s">
        <v>486</v>
      </c>
      <c r="AP30" s="49" t="s">
        <v>487</v>
      </c>
      <c r="AQ30" s="46">
        <v>45889</v>
      </c>
      <c r="AR30" s="46">
        <v>45930</v>
      </c>
      <c r="AS30" s="47" t="s">
        <v>107</v>
      </c>
      <c r="AT30" s="47" t="s">
        <v>108</v>
      </c>
      <c r="AU30" s="48">
        <v>2400</v>
      </c>
      <c r="AV30" s="48">
        <v>2420</v>
      </c>
      <c r="AW30" s="48">
        <v>2390</v>
      </c>
      <c r="AX30" s="48">
        <v>2400</v>
      </c>
      <c r="AY30" s="48">
        <v>2397.1</v>
      </c>
      <c r="AZ30" s="48">
        <v>2400</v>
      </c>
      <c r="BA30" s="49" t="s">
        <v>488</v>
      </c>
      <c r="BB30" s="49" t="s">
        <v>489</v>
      </c>
      <c r="BC30" s="49" t="s">
        <v>489</v>
      </c>
      <c r="BD30" s="49" t="s">
        <v>490</v>
      </c>
      <c r="BE30" s="49" t="s">
        <v>491</v>
      </c>
    </row>
    <row r="31" spans="1:57" x14ac:dyDescent="0.3">
      <c r="A31" s="46">
        <v>45888</v>
      </c>
      <c r="B31" s="47" t="s">
        <v>106</v>
      </c>
      <c r="C31" s="48">
        <v>2339.9</v>
      </c>
      <c r="D31" s="48">
        <v>2395.6</v>
      </c>
      <c r="E31" s="48">
        <v>2314.1</v>
      </c>
      <c r="F31" s="48">
        <v>2333.6</v>
      </c>
      <c r="G31" s="48">
        <v>2380.6999999999998</v>
      </c>
      <c r="H31" s="48">
        <v>2388.4</v>
      </c>
      <c r="I31" s="48">
        <v>2368.1799999999998</v>
      </c>
      <c r="J31" s="48">
        <v>3211</v>
      </c>
      <c r="K31" s="48">
        <v>2025</v>
      </c>
      <c r="L31" s="49" t="s">
        <v>492</v>
      </c>
      <c r="M31" s="49" t="s">
        <v>493</v>
      </c>
      <c r="N31" s="50">
        <v>58469</v>
      </c>
      <c r="Q31" s="53"/>
      <c r="R31" s="53"/>
      <c r="S31" s="54"/>
      <c r="T31" s="54"/>
      <c r="U31" s="54"/>
      <c r="V31" s="54"/>
      <c r="W31" s="54"/>
      <c r="X31" s="54"/>
      <c r="Y31" s="55"/>
      <c r="Z31" s="56"/>
      <c r="AA31" s="56"/>
      <c r="AB31" s="46">
        <v>45854</v>
      </c>
      <c r="AC31" s="46">
        <v>45897</v>
      </c>
      <c r="AD31" s="47" t="s">
        <v>107</v>
      </c>
      <c r="AE31" s="47" t="s">
        <v>108</v>
      </c>
      <c r="AF31" s="50">
        <v>2623.6</v>
      </c>
      <c r="AG31" s="50">
        <v>2644</v>
      </c>
      <c r="AH31" s="50">
        <v>2620</v>
      </c>
      <c r="AI31" s="50">
        <v>2630.9</v>
      </c>
      <c r="AJ31" s="50">
        <v>2633.4</v>
      </c>
      <c r="AK31" s="50">
        <v>2630.9</v>
      </c>
      <c r="AL31" s="50" t="s">
        <v>494</v>
      </c>
      <c r="AM31" s="50" t="s">
        <v>495</v>
      </c>
      <c r="AN31" s="50" t="s">
        <v>495</v>
      </c>
      <c r="AO31" s="50" t="s">
        <v>496</v>
      </c>
      <c r="AP31" s="50">
        <v>46800</v>
      </c>
      <c r="AQ31" s="46">
        <v>45888</v>
      </c>
      <c r="AR31" s="46">
        <v>45930</v>
      </c>
      <c r="AS31" s="51" t="s">
        <v>107</v>
      </c>
      <c r="AT31" s="51" t="s">
        <v>108</v>
      </c>
      <c r="AU31" s="50">
        <v>2336.6999999999998</v>
      </c>
      <c r="AV31" s="50">
        <v>2409.8000000000002</v>
      </c>
      <c r="AW31" s="50">
        <v>2333</v>
      </c>
      <c r="AX31" s="50">
        <v>2402.3000000000002</v>
      </c>
      <c r="AY31" s="50">
        <v>2396.5</v>
      </c>
      <c r="AZ31" s="50">
        <v>2402.3000000000002</v>
      </c>
      <c r="BA31" s="50" t="s">
        <v>497</v>
      </c>
      <c r="BB31" s="50" t="s">
        <v>498</v>
      </c>
      <c r="BC31" s="50" t="s">
        <v>498</v>
      </c>
      <c r="BD31" s="50" t="s">
        <v>499</v>
      </c>
      <c r="BE31" s="50" t="s">
        <v>500</v>
      </c>
    </row>
    <row r="32" spans="1:57" x14ac:dyDescent="0.3">
      <c r="A32" s="46">
        <v>45887</v>
      </c>
      <c r="B32" s="47" t="s">
        <v>106</v>
      </c>
      <c r="C32" s="48">
        <v>2309.6</v>
      </c>
      <c r="D32" s="48">
        <v>2360</v>
      </c>
      <c r="E32" s="48">
        <v>2300</v>
      </c>
      <c r="F32" s="48">
        <v>2281.6</v>
      </c>
      <c r="G32" s="48">
        <v>2325.5</v>
      </c>
      <c r="H32" s="48">
        <v>2333.6</v>
      </c>
      <c r="I32" s="48">
        <v>2339.34</v>
      </c>
      <c r="J32" s="48">
        <v>3211</v>
      </c>
      <c r="K32" s="48">
        <v>2025</v>
      </c>
      <c r="L32" s="49" t="s">
        <v>501</v>
      </c>
      <c r="M32" s="49" t="s">
        <v>502</v>
      </c>
      <c r="N32" s="50">
        <v>45655</v>
      </c>
      <c r="Q32" s="53"/>
      <c r="R32" s="53"/>
      <c r="S32" s="54"/>
      <c r="T32" s="54"/>
      <c r="U32" s="54"/>
      <c r="V32" s="54"/>
      <c r="W32" s="54"/>
      <c r="X32" s="54"/>
      <c r="Y32" s="57"/>
      <c r="Z32" s="56"/>
      <c r="AA32" s="56"/>
      <c r="AB32" s="46">
        <v>45853</v>
      </c>
      <c r="AC32" s="46">
        <v>45897</v>
      </c>
      <c r="AD32" s="47" t="s">
        <v>107</v>
      </c>
      <c r="AE32" s="47" t="s">
        <v>108</v>
      </c>
      <c r="AF32" s="50">
        <v>2606.8000000000002</v>
      </c>
      <c r="AG32" s="50">
        <v>2629.7</v>
      </c>
      <c r="AH32" s="50">
        <v>2597</v>
      </c>
      <c r="AI32" s="50">
        <v>2618.5</v>
      </c>
      <c r="AJ32" s="50">
        <v>2620</v>
      </c>
      <c r="AK32" s="50">
        <v>2618.5</v>
      </c>
      <c r="AL32" s="50">
        <v>75900</v>
      </c>
      <c r="AM32" s="50" t="s">
        <v>503</v>
      </c>
      <c r="AN32" s="50" t="s">
        <v>503</v>
      </c>
      <c r="AO32" s="50" t="s">
        <v>504</v>
      </c>
      <c r="AP32" s="50">
        <v>33000</v>
      </c>
      <c r="AQ32" s="46">
        <v>45887</v>
      </c>
      <c r="AR32" s="46">
        <v>45930</v>
      </c>
      <c r="AS32" s="51" t="s">
        <v>107</v>
      </c>
      <c r="AT32" s="51" t="s">
        <v>108</v>
      </c>
      <c r="AU32" s="50">
        <v>2319</v>
      </c>
      <c r="AV32" s="50">
        <v>2375.5</v>
      </c>
      <c r="AW32" s="50">
        <v>2319</v>
      </c>
      <c r="AX32" s="50">
        <v>2348.8000000000002</v>
      </c>
      <c r="AY32" s="50">
        <v>2341.1999999999998</v>
      </c>
      <c r="AZ32" s="50">
        <v>2348.8000000000002</v>
      </c>
      <c r="BA32" s="50" t="s">
        <v>505</v>
      </c>
      <c r="BB32" s="50" t="s">
        <v>506</v>
      </c>
      <c r="BC32" s="50" t="s">
        <v>506</v>
      </c>
      <c r="BD32" s="50" t="s">
        <v>507</v>
      </c>
      <c r="BE32" s="50">
        <v>38700</v>
      </c>
    </row>
    <row r="33" spans="1:57" x14ac:dyDescent="0.3">
      <c r="A33" s="46">
        <v>45883</v>
      </c>
      <c r="B33" s="47" t="s">
        <v>106</v>
      </c>
      <c r="C33" s="48">
        <v>2288</v>
      </c>
      <c r="D33" s="48">
        <v>2304</v>
      </c>
      <c r="E33" s="48">
        <v>2267.6999999999998</v>
      </c>
      <c r="F33" s="48">
        <v>2280.1</v>
      </c>
      <c r="G33" s="48">
        <v>2280.1</v>
      </c>
      <c r="H33" s="48">
        <v>2281.6</v>
      </c>
      <c r="I33" s="48">
        <v>2285.6</v>
      </c>
      <c r="J33" s="48">
        <v>3211</v>
      </c>
      <c r="K33" s="48">
        <v>2025</v>
      </c>
      <c r="L33" s="49" t="s">
        <v>508</v>
      </c>
      <c r="M33" s="49" t="s">
        <v>509</v>
      </c>
      <c r="N33" s="50">
        <v>39420</v>
      </c>
      <c r="Q33" s="53"/>
      <c r="R33" s="53"/>
      <c r="S33" s="54"/>
      <c r="T33" s="54"/>
      <c r="U33" s="54"/>
      <c r="V33" s="54"/>
      <c r="W33" s="54"/>
      <c r="X33" s="54"/>
      <c r="Y33" s="55"/>
      <c r="Z33" s="56"/>
      <c r="AA33" s="56"/>
      <c r="AB33" s="46">
        <v>45852</v>
      </c>
      <c r="AC33" s="46">
        <v>45897</v>
      </c>
      <c r="AD33" s="47" t="s">
        <v>107</v>
      </c>
      <c r="AE33" s="47" t="s">
        <v>108</v>
      </c>
      <c r="AF33" s="50">
        <v>2577.6999999999998</v>
      </c>
      <c r="AG33" s="50">
        <v>2627.4</v>
      </c>
      <c r="AH33" s="50">
        <v>2568</v>
      </c>
      <c r="AI33" s="50">
        <v>2605.3000000000002</v>
      </c>
      <c r="AJ33" s="50">
        <v>2605.3000000000002</v>
      </c>
      <c r="AK33" s="50">
        <v>2605.3000000000002</v>
      </c>
      <c r="AL33" s="50" t="s">
        <v>510</v>
      </c>
      <c r="AM33" s="50" t="s">
        <v>511</v>
      </c>
      <c r="AN33" s="50" t="s">
        <v>511</v>
      </c>
      <c r="AO33" s="50" t="s">
        <v>512</v>
      </c>
      <c r="AP33" s="50">
        <v>54900</v>
      </c>
      <c r="AQ33" s="46">
        <v>45883</v>
      </c>
      <c r="AR33" s="46">
        <v>45930</v>
      </c>
      <c r="AS33" s="51" t="s">
        <v>107</v>
      </c>
      <c r="AT33" s="51" t="s">
        <v>108</v>
      </c>
      <c r="AU33" s="50">
        <v>2310</v>
      </c>
      <c r="AV33" s="50">
        <v>2320.1999999999998</v>
      </c>
      <c r="AW33" s="50">
        <v>2288</v>
      </c>
      <c r="AX33" s="50">
        <v>2295.6</v>
      </c>
      <c r="AY33" s="50">
        <v>2297.1</v>
      </c>
      <c r="AZ33" s="50">
        <v>2295.6</v>
      </c>
      <c r="BA33" s="50">
        <v>87000</v>
      </c>
      <c r="BB33" s="50" t="s">
        <v>513</v>
      </c>
      <c r="BC33" s="50" t="s">
        <v>513</v>
      </c>
      <c r="BD33" s="50" t="s">
        <v>514</v>
      </c>
      <c r="BE33" s="50">
        <v>39900</v>
      </c>
    </row>
    <row r="34" spans="1:57" x14ac:dyDescent="0.3">
      <c r="A34" s="46">
        <v>45882</v>
      </c>
      <c r="B34" s="47" t="s">
        <v>106</v>
      </c>
      <c r="C34" s="48">
        <v>2299</v>
      </c>
      <c r="D34" s="48">
        <v>2314.9</v>
      </c>
      <c r="E34" s="48">
        <v>2245.4</v>
      </c>
      <c r="F34" s="48">
        <v>2288.1999999999998</v>
      </c>
      <c r="G34" s="48">
        <v>2287</v>
      </c>
      <c r="H34" s="48">
        <v>2280.1</v>
      </c>
      <c r="I34" s="48">
        <v>2278.92</v>
      </c>
      <c r="J34" s="48">
        <v>3211</v>
      </c>
      <c r="K34" s="48">
        <v>2025</v>
      </c>
      <c r="L34" s="49" t="s">
        <v>515</v>
      </c>
      <c r="M34" s="49" t="s">
        <v>516</v>
      </c>
      <c r="N34" s="50">
        <v>42397</v>
      </c>
      <c r="Q34" s="53"/>
      <c r="R34" s="53"/>
      <c r="S34" s="54"/>
      <c r="T34" s="54"/>
      <c r="U34" s="54"/>
      <c r="V34" s="54"/>
      <c r="W34" s="54"/>
      <c r="X34" s="54"/>
      <c r="Y34" s="57"/>
      <c r="Z34" s="56"/>
      <c r="AA34" s="56"/>
      <c r="AB34" s="46">
        <v>45849</v>
      </c>
      <c r="AC34" s="46">
        <v>45897</v>
      </c>
      <c r="AD34" s="47" t="s">
        <v>107</v>
      </c>
      <c r="AE34" s="47" t="s">
        <v>108</v>
      </c>
      <c r="AF34" s="50">
        <v>2592.4</v>
      </c>
      <c r="AG34" s="50">
        <v>2611.1</v>
      </c>
      <c r="AH34" s="50">
        <v>2575.6999999999998</v>
      </c>
      <c r="AI34" s="50">
        <v>2580.1999999999998</v>
      </c>
      <c r="AJ34" s="50">
        <v>2581.5</v>
      </c>
      <c r="AK34" s="50">
        <v>2580.1999999999998</v>
      </c>
      <c r="AL34" s="50">
        <v>63600</v>
      </c>
      <c r="AM34" s="50" t="s">
        <v>517</v>
      </c>
      <c r="AN34" s="50" t="s">
        <v>517</v>
      </c>
      <c r="AO34" s="50" t="s">
        <v>518</v>
      </c>
      <c r="AP34" s="50">
        <v>14700</v>
      </c>
      <c r="AQ34" s="46">
        <v>45882</v>
      </c>
      <c r="AR34" s="46">
        <v>45930</v>
      </c>
      <c r="AS34" s="51" t="s">
        <v>107</v>
      </c>
      <c r="AT34" s="51" t="s">
        <v>108</v>
      </c>
      <c r="AU34" s="50">
        <v>2328.1999999999998</v>
      </c>
      <c r="AV34" s="50">
        <v>2331.9</v>
      </c>
      <c r="AW34" s="50">
        <v>2262.6</v>
      </c>
      <c r="AX34" s="50">
        <v>2303.4</v>
      </c>
      <c r="AY34" s="50">
        <v>2306.6</v>
      </c>
      <c r="AZ34" s="50">
        <v>2303.4</v>
      </c>
      <c r="BA34" s="50">
        <v>90900</v>
      </c>
      <c r="BB34" s="50" t="s">
        <v>519</v>
      </c>
      <c r="BC34" s="50" t="s">
        <v>519</v>
      </c>
      <c r="BD34" s="50" t="s">
        <v>520</v>
      </c>
      <c r="BE34" s="50">
        <v>12000</v>
      </c>
    </row>
    <row r="35" spans="1:57" x14ac:dyDescent="0.3">
      <c r="A35" s="46">
        <v>45881</v>
      </c>
      <c r="B35" s="47" t="s">
        <v>106</v>
      </c>
      <c r="C35" s="48">
        <v>2280.1</v>
      </c>
      <c r="D35" s="48">
        <v>2314.6999999999998</v>
      </c>
      <c r="E35" s="48">
        <v>2267</v>
      </c>
      <c r="F35" s="48">
        <v>2283.4</v>
      </c>
      <c r="G35" s="48">
        <v>2294.5</v>
      </c>
      <c r="H35" s="48">
        <v>2288.1999999999998</v>
      </c>
      <c r="I35" s="48">
        <v>2290.14</v>
      </c>
      <c r="J35" s="48">
        <v>3211</v>
      </c>
      <c r="K35" s="48">
        <v>2025</v>
      </c>
      <c r="L35" s="49" t="s">
        <v>521</v>
      </c>
      <c r="M35" s="49" t="s">
        <v>522</v>
      </c>
      <c r="N35" s="50">
        <v>61725</v>
      </c>
      <c r="Q35" s="53"/>
      <c r="R35" s="53"/>
      <c r="S35" s="54"/>
      <c r="T35" s="54"/>
      <c r="U35" s="54"/>
      <c r="V35" s="54"/>
      <c r="W35" s="54"/>
      <c r="X35" s="54"/>
      <c r="Y35" s="57"/>
      <c r="Z35" s="56"/>
      <c r="AA35" s="56"/>
      <c r="AB35" s="46">
        <v>45848</v>
      </c>
      <c r="AC35" s="46">
        <v>45897</v>
      </c>
      <c r="AD35" s="47" t="s">
        <v>107</v>
      </c>
      <c r="AE35" s="47" t="s">
        <v>108</v>
      </c>
      <c r="AF35" s="50">
        <v>2605.3000000000002</v>
      </c>
      <c r="AG35" s="50">
        <v>2625</v>
      </c>
      <c r="AH35" s="50">
        <v>2596.5</v>
      </c>
      <c r="AI35" s="50">
        <v>2601.4</v>
      </c>
      <c r="AJ35" s="50">
        <v>2603.1999999999998</v>
      </c>
      <c r="AK35" s="50">
        <v>2601.4</v>
      </c>
      <c r="AL35" s="50">
        <v>43800</v>
      </c>
      <c r="AM35" s="50" t="s">
        <v>523</v>
      </c>
      <c r="AN35" s="50" t="s">
        <v>523</v>
      </c>
      <c r="AO35" s="50" t="s">
        <v>524</v>
      </c>
      <c r="AP35" s="50">
        <v>15300</v>
      </c>
      <c r="AQ35" s="46">
        <v>45881</v>
      </c>
      <c r="AR35" s="46">
        <v>45930</v>
      </c>
      <c r="AS35" s="51" t="s">
        <v>107</v>
      </c>
      <c r="AT35" s="51" t="s">
        <v>108</v>
      </c>
      <c r="AU35" s="50">
        <v>2302.1999999999998</v>
      </c>
      <c r="AV35" s="50">
        <v>2330</v>
      </c>
      <c r="AW35" s="50">
        <v>2284</v>
      </c>
      <c r="AX35" s="50">
        <v>2307.6</v>
      </c>
      <c r="AY35" s="50">
        <v>2309</v>
      </c>
      <c r="AZ35" s="50">
        <v>2307.6</v>
      </c>
      <c r="BA35" s="50">
        <v>87600</v>
      </c>
      <c r="BB35" s="50" t="s">
        <v>525</v>
      </c>
      <c r="BC35" s="50" t="s">
        <v>525</v>
      </c>
      <c r="BD35" s="50" t="s">
        <v>526</v>
      </c>
      <c r="BE35" s="50">
        <v>15000</v>
      </c>
    </row>
    <row r="36" spans="1:57" x14ac:dyDescent="0.3">
      <c r="A36" s="46">
        <v>45880</v>
      </c>
      <c r="B36" s="47" t="s">
        <v>106</v>
      </c>
      <c r="C36" s="48">
        <v>2196</v>
      </c>
      <c r="D36" s="48">
        <v>2302</v>
      </c>
      <c r="E36" s="48">
        <v>2183</v>
      </c>
      <c r="F36" s="48">
        <v>2178.1</v>
      </c>
      <c r="G36" s="48">
        <v>2270.1999999999998</v>
      </c>
      <c r="H36" s="48">
        <v>2283.4</v>
      </c>
      <c r="I36" s="48">
        <v>2257.64</v>
      </c>
      <c r="J36" s="48">
        <v>3211</v>
      </c>
      <c r="K36" s="48">
        <v>2025</v>
      </c>
      <c r="L36" s="49" t="s">
        <v>527</v>
      </c>
      <c r="M36" s="49" t="s">
        <v>528</v>
      </c>
      <c r="N36" s="49" t="s">
        <v>529</v>
      </c>
      <c r="Q36" s="53"/>
      <c r="R36" s="53"/>
      <c r="S36" s="54"/>
      <c r="T36" s="54"/>
      <c r="U36" s="54"/>
      <c r="V36" s="54"/>
      <c r="W36" s="54"/>
      <c r="X36" s="54"/>
      <c r="Y36" s="57"/>
      <c r="Z36" s="56"/>
      <c r="AA36" s="56"/>
      <c r="AB36" s="52">
        <v>45847</v>
      </c>
      <c r="AC36" s="46">
        <v>45897</v>
      </c>
      <c r="AD36" s="47" t="s">
        <v>107</v>
      </c>
      <c r="AE36" s="47" t="s">
        <v>108</v>
      </c>
      <c r="AF36" s="50">
        <v>2620</v>
      </c>
      <c r="AG36" s="50">
        <v>2630</v>
      </c>
      <c r="AH36" s="50">
        <v>2591.6</v>
      </c>
      <c r="AI36" s="50">
        <v>2604.6999999999998</v>
      </c>
      <c r="AJ36" s="50">
        <v>2606.5</v>
      </c>
      <c r="AK36" s="50">
        <v>2604.6999999999998</v>
      </c>
      <c r="AL36" s="50">
        <v>60900</v>
      </c>
      <c r="AM36" s="50" t="s">
        <v>530</v>
      </c>
      <c r="AN36" s="50" t="s">
        <v>530</v>
      </c>
      <c r="AO36" s="50" t="s">
        <v>531</v>
      </c>
      <c r="AP36" s="50">
        <v>20100</v>
      </c>
      <c r="AQ36" s="46">
        <v>45880</v>
      </c>
      <c r="AR36" s="46">
        <v>45930</v>
      </c>
      <c r="AS36" s="51" t="s">
        <v>107</v>
      </c>
      <c r="AT36" s="51" t="s">
        <v>108</v>
      </c>
      <c r="AU36" s="50">
        <v>2203.6</v>
      </c>
      <c r="AV36" s="50">
        <v>2323.5</v>
      </c>
      <c r="AW36" s="50">
        <v>2203.6</v>
      </c>
      <c r="AX36" s="50">
        <v>2309.6999999999998</v>
      </c>
      <c r="AY36" s="50">
        <v>2293.1999999999998</v>
      </c>
      <c r="AZ36" s="50">
        <v>2309.6999999999998</v>
      </c>
      <c r="BA36" s="50" t="s">
        <v>532</v>
      </c>
      <c r="BB36" s="50" t="s">
        <v>533</v>
      </c>
      <c r="BC36" s="50" t="s">
        <v>533</v>
      </c>
      <c r="BD36" s="50" t="s">
        <v>534</v>
      </c>
      <c r="BE36" s="50">
        <v>11400</v>
      </c>
    </row>
    <row r="37" spans="1:57" x14ac:dyDescent="0.3">
      <c r="A37" s="52">
        <v>45877</v>
      </c>
      <c r="B37" s="47" t="s">
        <v>106</v>
      </c>
      <c r="C37" s="48">
        <v>2247</v>
      </c>
      <c r="D37" s="48">
        <v>2260.9</v>
      </c>
      <c r="E37" s="48">
        <v>2164.8000000000002</v>
      </c>
      <c r="F37" s="48">
        <v>2249.8000000000002</v>
      </c>
      <c r="G37" s="48">
        <v>2179</v>
      </c>
      <c r="H37" s="48">
        <v>2178.1</v>
      </c>
      <c r="I37" s="48">
        <v>2185.27</v>
      </c>
      <c r="J37" s="48">
        <v>3242.65</v>
      </c>
      <c r="K37" s="48">
        <v>2025</v>
      </c>
      <c r="L37" s="49" t="s">
        <v>535</v>
      </c>
      <c r="M37" s="49" t="s">
        <v>536</v>
      </c>
      <c r="N37" s="49" t="s">
        <v>537</v>
      </c>
      <c r="Q37" s="53"/>
      <c r="R37" s="53"/>
      <c r="S37" s="54"/>
      <c r="T37" s="54"/>
      <c r="U37" s="54"/>
      <c r="V37" s="54"/>
      <c r="W37" s="54"/>
      <c r="X37" s="54"/>
      <c r="Y37" s="57"/>
      <c r="Z37" s="56"/>
      <c r="AA37" s="56"/>
      <c r="AB37" s="52">
        <v>45846</v>
      </c>
      <c r="AC37" s="46">
        <v>45897</v>
      </c>
      <c r="AD37" s="47" t="s">
        <v>107</v>
      </c>
      <c r="AE37" s="47" t="s">
        <v>108</v>
      </c>
      <c r="AF37" s="50">
        <v>2607.5</v>
      </c>
      <c r="AG37" s="50">
        <v>2622.3</v>
      </c>
      <c r="AH37" s="50">
        <v>2596.6999999999998</v>
      </c>
      <c r="AI37" s="50">
        <v>2618.8000000000002</v>
      </c>
      <c r="AJ37" s="50">
        <v>2614.6</v>
      </c>
      <c r="AK37" s="50">
        <v>2618.8000000000002</v>
      </c>
      <c r="AL37" s="50">
        <v>54300</v>
      </c>
      <c r="AM37" s="50" t="s">
        <v>538</v>
      </c>
      <c r="AN37" s="50" t="s">
        <v>538</v>
      </c>
      <c r="AO37" s="50" t="s">
        <v>539</v>
      </c>
      <c r="AP37" s="50">
        <v>18000</v>
      </c>
      <c r="AQ37" s="52">
        <v>45877</v>
      </c>
      <c r="AR37" s="46">
        <v>45930</v>
      </c>
      <c r="AS37" s="51" t="s">
        <v>107</v>
      </c>
      <c r="AT37" s="51" t="s">
        <v>108</v>
      </c>
      <c r="AU37" s="50">
        <v>2260.6</v>
      </c>
      <c r="AV37" s="50">
        <v>2277.8000000000002</v>
      </c>
      <c r="AW37" s="50">
        <v>2183</v>
      </c>
      <c r="AX37" s="50">
        <v>2194.4</v>
      </c>
      <c r="AY37" s="50">
        <v>2196.6999999999998</v>
      </c>
      <c r="AZ37" s="50">
        <v>2194.4</v>
      </c>
      <c r="BA37" s="50" t="s">
        <v>540</v>
      </c>
      <c r="BB37" s="50" t="s">
        <v>541</v>
      </c>
      <c r="BC37" s="50" t="s">
        <v>541</v>
      </c>
      <c r="BD37" s="50" t="s">
        <v>542</v>
      </c>
      <c r="BE37" s="50">
        <v>63000</v>
      </c>
    </row>
    <row r="38" spans="1:57" x14ac:dyDescent="0.3">
      <c r="A38" s="52">
        <v>45876</v>
      </c>
      <c r="B38" s="47" t="s">
        <v>106</v>
      </c>
      <c r="C38" s="48">
        <v>2290</v>
      </c>
      <c r="D38" s="48">
        <v>2295</v>
      </c>
      <c r="E38" s="48">
        <v>2202.8000000000002</v>
      </c>
      <c r="F38" s="48">
        <v>2300.3000000000002</v>
      </c>
      <c r="G38" s="48">
        <v>2245.9</v>
      </c>
      <c r="H38" s="48">
        <v>2249.8000000000002</v>
      </c>
      <c r="I38" s="48">
        <v>2244.12</v>
      </c>
      <c r="J38" s="48">
        <v>3242.65</v>
      </c>
      <c r="K38" s="48">
        <v>2025</v>
      </c>
      <c r="L38" s="49" t="s">
        <v>543</v>
      </c>
      <c r="M38" s="49" t="s">
        <v>544</v>
      </c>
      <c r="N38" s="50">
        <v>72389</v>
      </c>
      <c r="Q38" s="53"/>
      <c r="R38" s="53"/>
      <c r="S38" s="54"/>
      <c r="T38" s="54"/>
      <c r="U38" s="54"/>
      <c r="V38" s="54"/>
      <c r="W38" s="54"/>
      <c r="X38" s="54"/>
      <c r="Y38" s="57"/>
      <c r="Z38" s="56"/>
      <c r="AA38" s="56"/>
      <c r="AB38" s="52">
        <v>45845</v>
      </c>
      <c r="AC38" s="46">
        <v>45897</v>
      </c>
      <c r="AD38" s="47" t="s">
        <v>107</v>
      </c>
      <c r="AE38" s="47" t="s">
        <v>108</v>
      </c>
      <c r="AF38" s="50">
        <v>2612.9</v>
      </c>
      <c r="AG38" s="50">
        <v>2622</v>
      </c>
      <c r="AH38" s="50">
        <v>2599.3000000000002</v>
      </c>
      <c r="AI38" s="50">
        <v>2601.8000000000002</v>
      </c>
      <c r="AJ38" s="50">
        <v>2603</v>
      </c>
      <c r="AK38" s="50">
        <v>2601.8000000000002</v>
      </c>
      <c r="AL38" s="50">
        <v>78900</v>
      </c>
      <c r="AM38" s="50" t="s">
        <v>545</v>
      </c>
      <c r="AN38" s="50" t="s">
        <v>545</v>
      </c>
      <c r="AO38" s="50" t="s">
        <v>546</v>
      </c>
      <c r="AP38" s="50">
        <v>39900</v>
      </c>
      <c r="AQ38" s="52">
        <v>45876</v>
      </c>
      <c r="AR38" s="46">
        <v>45930</v>
      </c>
      <c r="AS38" s="51" t="s">
        <v>107</v>
      </c>
      <c r="AT38" s="51" t="s">
        <v>108</v>
      </c>
      <c r="AU38" s="50">
        <v>2307.6</v>
      </c>
      <c r="AV38" s="50">
        <v>2311</v>
      </c>
      <c r="AW38" s="50">
        <v>2220</v>
      </c>
      <c r="AX38" s="50">
        <v>2273.6999999999998</v>
      </c>
      <c r="AY38" s="50">
        <v>2263.4</v>
      </c>
      <c r="AZ38" s="50">
        <v>2273.6999999999998</v>
      </c>
      <c r="BA38" s="50" t="s">
        <v>547</v>
      </c>
      <c r="BB38" s="50" t="s">
        <v>548</v>
      </c>
      <c r="BC38" s="50" t="s">
        <v>548</v>
      </c>
      <c r="BD38" s="50" t="s">
        <v>549</v>
      </c>
      <c r="BE38" s="50">
        <v>37200</v>
      </c>
    </row>
    <row r="39" spans="1:57" x14ac:dyDescent="0.3">
      <c r="A39" s="52">
        <v>45875</v>
      </c>
      <c r="B39" s="47" t="s">
        <v>106</v>
      </c>
      <c r="C39" s="48">
        <v>2333.9</v>
      </c>
      <c r="D39" s="48">
        <v>2347.9</v>
      </c>
      <c r="E39" s="48">
        <v>2296</v>
      </c>
      <c r="F39" s="48">
        <v>2328.1999999999998</v>
      </c>
      <c r="G39" s="48">
        <v>2300</v>
      </c>
      <c r="H39" s="48">
        <v>2300.3000000000002</v>
      </c>
      <c r="I39" s="48">
        <v>2311.6</v>
      </c>
      <c r="J39" s="48">
        <v>3242.65</v>
      </c>
      <c r="K39" s="48">
        <v>2025</v>
      </c>
      <c r="L39" s="49" t="s">
        <v>550</v>
      </c>
      <c r="M39" s="49" t="s">
        <v>551</v>
      </c>
      <c r="N39" s="50">
        <v>35196</v>
      </c>
      <c r="Q39" s="53"/>
      <c r="R39" s="53"/>
      <c r="S39" s="54"/>
      <c r="T39" s="54"/>
      <c r="U39" s="54"/>
      <c r="V39" s="54"/>
      <c r="W39" s="54"/>
      <c r="X39" s="54"/>
      <c r="Y39" s="57"/>
      <c r="Z39" s="56"/>
      <c r="AA39" s="56"/>
      <c r="AB39" s="52">
        <v>45842</v>
      </c>
      <c r="AC39" s="46">
        <v>45897</v>
      </c>
      <c r="AD39" s="47" t="s">
        <v>107</v>
      </c>
      <c r="AE39" s="47" t="s">
        <v>108</v>
      </c>
      <c r="AF39" s="48">
        <v>2637.9</v>
      </c>
      <c r="AG39" s="48">
        <v>2641.3</v>
      </c>
      <c r="AH39" s="48">
        <v>2605.1999999999998</v>
      </c>
      <c r="AI39" s="48">
        <v>2622.9</v>
      </c>
      <c r="AJ39" s="48">
        <v>2625.2</v>
      </c>
      <c r="AK39" s="48">
        <v>2622.9</v>
      </c>
      <c r="AL39" s="48">
        <v>35400</v>
      </c>
      <c r="AM39" s="48" t="s">
        <v>552</v>
      </c>
      <c r="AN39" s="50" t="s">
        <v>552</v>
      </c>
      <c r="AO39" s="49" t="s">
        <v>553</v>
      </c>
      <c r="AP39" s="49">
        <v>900</v>
      </c>
      <c r="AQ39" s="52">
        <v>45875</v>
      </c>
      <c r="AR39" s="46">
        <v>45930</v>
      </c>
      <c r="AS39" s="51" t="s">
        <v>107</v>
      </c>
      <c r="AT39" s="51" t="s">
        <v>108</v>
      </c>
      <c r="AU39" s="50">
        <v>2344.1999999999998</v>
      </c>
      <c r="AV39" s="50">
        <v>2364.4</v>
      </c>
      <c r="AW39" s="50">
        <v>2315.5</v>
      </c>
      <c r="AX39" s="50">
        <v>2318.3000000000002</v>
      </c>
      <c r="AY39" s="50">
        <v>2315.5</v>
      </c>
      <c r="AZ39" s="50">
        <v>2318.3000000000002</v>
      </c>
      <c r="BA39" s="50">
        <v>74100</v>
      </c>
      <c r="BB39" s="50" t="s">
        <v>554</v>
      </c>
      <c r="BC39" s="50" t="s">
        <v>554</v>
      </c>
      <c r="BD39" s="50" t="s">
        <v>555</v>
      </c>
      <c r="BE39" s="50">
        <v>21600</v>
      </c>
    </row>
    <row r="40" spans="1:57" x14ac:dyDescent="0.3">
      <c r="A40" s="52">
        <v>45874</v>
      </c>
      <c r="B40" s="47" t="s">
        <v>106</v>
      </c>
      <c r="C40" s="48">
        <v>2370</v>
      </c>
      <c r="D40" s="48">
        <v>2370</v>
      </c>
      <c r="E40" s="48">
        <v>2316</v>
      </c>
      <c r="F40" s="48">
        <v>2363.6</v>
      </c>
      <c r="G40" s="48">
        <v>2333</v>
      </c>
      <c r="H40" s="48">
        <v>2328.1999999999998</v>
      </c>
      <c r="I40" s="48">
        <v>2333.4299999999998</v>
      </c>
      <c r="J40" s="48">
        <v>3242.65</v>
      </c>
      <c r="K40" s="48">
        <v>2025</v>
      </c>
      <c r="L40" s="49" t="s">
        <v>556</v>
      </c>
      <c r="M40" s="49" t="s">
        <v>557</v>
      </c>
      <c r="N40" s="50">
        <v>36761</v>
      </c>
      <c r="Q40" s="53"/>
      <c r="R40" s="53"/>
      <c r="S40" s="54"/>
      <c r="T40" s="54"/>
      <c r="U40" s="54"/>
      <c r="V40" s="54"/>
      <c r="W40" s="54"/>
      <c r="X40" s="54"/>
      <c r="Y40" s="57"/>
      <c r="Z40" s="56"/>
      <c r="AA40" s="56"/>
      <c r="AB40" s="52">
        <v>45841</v>
      </c>
      <c r="AC40" s="46">
        <v>45897</v>
      </c>
      <c r="AD40" s="47" t="s">
        <v>107</v>
      </c>
      <c r="AE40" s="47" t="s">
        <v>108</v>
      </c>
      <c r="AF40" s="50">
        <v>2657.4</v>
      </c>
      <c r="AG40" s="50">
        <v>2672.7</v>
      </c>
      <c r="AH40" s="50">
        <v>2632.8</v>
      </c>
      <c r="AI40" s="50">
        <v>2640.1</v>
      </c>
      <c r="AJ40" s="50">
        <v>2636</v>
      </c>
      <c r="AK40" s="50">
        <v>2640.1</v>
      </c>
      <c r="AL40" s="50">
        <v>45600</v>
      </c>
      <c r="AM40" s="50" t="s">
        <v>558</v>
      </c>
      <c r="AN40" s="50" t="s">
        <v>558</v>
      </c>
      <c r="AO40" s="50" t="s">
        <v>559</v>
      </c>
      <c r="AP40" s="50">
        <v>15900</v>
      </c>
      <c r="AQ40" s="52">
        <v>45874</v>
      </c>
      <c r="AR40" s="46">
        <v>45930</v>
      </c>
      <c r="AS40" s="51" t="s">
        <v>107</v>
      </c>
      <c r="AT40" s="51" t="s">
        <v>108</v>
      </c>
      <c r="AU40" s="50">
        <v>2381.1999999999998</v>
      </c>
      <c r="AV40" s="50">
        <v>2384</v>
      </c>
      <c r="AW40" s="50">
        <v>2340</v>
      </c>
      <c r="AX40" s="50">
        <v>2350.1999999999998</v>
      </c>
      <c r="AY40" s="50">
        <v>2349</v>
      </c>
      <c r="AZ40" s="50">
        <v>2350.1999999999998</v>
      </c>
      <c r="BA40" s="50">
        <v>65400</v>
      </c>
      <c r="BB40" s="50" t="s">
        <v>560</v>
      </c>
      <c r="BC40" s="50" t="s">
        <v>560</v>
      </c>
      <c r="BD40" s="50" t="s">
        <v>561</v>
      </c>
      <c r="BE40" s="50">
        <v>28800</v>
      </c>
    </row>
    <row r="41" spans="1:57" x14ac:dyDescent="0.3">
      <c r="A41" s="52">
        <v>45873</v>
      </c>
      <c r="B41" s="47" t="s">
        <v>106</v>
      </c>
      <c r="C41" s="48">
        <v>2360</v>
      </c>
      <c r="D41" s="48">
        <v>2374.6999999999998</v>
      </c>
      <c r="E41" s="48">
        <v>2338.1999999999998</v>
      </c>
      <c r="F41" s="48">
        <v>2350.9</v>
      </c>
      <c r="G41" s="48">
        <v>2364.6999999999998</v>
      </c>
      <c r="H41" s="48">
        <v>2363.6</v>
      </c>
      <c r="I41" s="48">
        <v>2358.52</v>
      </c>
      <c r="J41" s="48">
        <v>3242.65</v>
      </c>
      <c r="K41" s="48">
        <v>2025</v>
      </c>
      <c r="L41" s="49" t="s">
        <v>562</v>
      </c>
      <c r="M41" s="49" t="s">
        <v>563</v>
      </c>
      <c r="N41" s="50">
        <v>35680</v>
      </c>
      <c r="Q41" s="53"/>
      <c r="R41" s="53"/>
      <c r="S41" s="54"/>
      <c r="T41" s="54"/>
      <c r="U41" s="54"/>
      <c r="V41" s="54"/>
      <c r="W41" s="54"/>
      <c r="X41" s="54"/>
      <c r="Y41" s="57"/>
      <c r="Z41" s="56"/>
      <c r="AA41" s="56"/>
      <c r="AB41" s="52">
        <v>45840</v>
      </c>
      <c r="AC41" s="46">
        <v>45897</v>
      </c>
      <c r="AD41" s="47" t="s">
        <v>107</v>
      </c>
      <c r="AE41" s="47" t="s">
        <v>108</v>
      </c>
      <c r="AF41" s="50">
        <v>2651.6</v>
      </c>
      <c r="AG41" s="50">
        <v>2671.1</v>
      </c>
      <c r="AH41" s="50">
        <v>2640</v>
      </c>
      <c r="AI41" s="50">
        <v>2658.9</v>
      </c>
      <c r="AJ41" s="50">
        <v>2657.4</v>
      </c>
      <c r="AK41" s="50">
        <v>2658.9</v>
      </c>
      <c r="AL41" s="50">
        <v>58800</v>
      </c>
      <c r="AM41" s="50" t="s">
        <v>564</v>
      </c>
      <c r="AN41" s="50" t="s">
        <v>564</v>
      </c>
      <c r="AO41" s="50" t="s">
        <v>565</v>
      </c>
      <c r="AP41" s="50">
        <v>12900</v>
      </c>
      <c r="AQ41" s="52">
        <v>45873</v>
      </c>
      <c r="AR41" s="46">
        <v>45930</v>
      </c>
      <c r="AS41" s="51" t="s">
        <v>107</v>
      </c>
      <c r="AT41" s="51" t="s">
        <v>108</v>
      </c>
      <c r="AU41" s="50">
        <v>2366.9</v>
      </c>
      <c r="AV41" s="50">
        <v>2397.9</v>
      </c>
      <c r="AW41" s="50">
        <v>2359</v>
      </c>
      <c r="AX41" s="50">
        <v>2385.6999999999998</v>
      </c>
      <c r="AY41" s="50">
        <v>2386.1</v>
      </c>
      <c r="AZ41" s="50">
        <v>2385.6999999999998</v>
      </c>
      <c r="BA41" s="50">
        <v>40500</v>
      </c>
      <c r="BB41" s="50" t="s">
        <v>566</v>
      </c>
      <c r="BC41" s="50" t="s">
        <v>566</v>
      </c>
      <c r="BD41" s="50" t="s">
        <v>567</v>
      </c>
      <c r="BE41" s="50">
        <v>5100</v>
      </c>
    </row>
    <row r="42" spans="1:57" x14ac:dyDescent="0.3">
      <c r="A42" s="52">
        <v>45870</v>
      </c>
      <c r="B42" s="47" t="s">
        <v>106</v>
      </c>
      <c r="C42" s="48">
        <v>2425</v>
      </c>
      <c r="D42" s="48">
        <v>2444.9</v>
      </c>
      <c r="E42" s="48">
        <v>2333</v>
      </c>
      <c r="F42" s="48">
        <v>2430.6999999999998</v>
      </c>
      <c r="G42" s="48">
        <v>2341.5</v>
      </c>
      <c r="H42" s="48">
        <v>2350.9</v>
      </c>
      <c r="I42" s="48">
        <v>2387.3000000000002</v>
      </c>
      <c r="J42" s="48">
        <v>3258</v>
      </c>
      <c r="K42" s="48">
        <v>2025</v>
      </c>
      <c r="L42" s="49" t="s">
        <v>568</v>
      </c>
      <c r="M42" s="49" t="s">
        <v>569</v>
      </c>
      <c r="N42" s="50">
        <v>50438</v>
      </c>
      <c r="Q42" s="53"/>
      <c r="R42" s="53"/>
      <c r="S42" s="54"/>
      <c r="T42" s="54"/>
      <c r="U42" s="54"/>
      <c r="V42" s="54"/>
      <c r="W42" s="54"/>
      <c r="X42" s="54"/>
      <c r="Y42" s="57"/>
      <c r="Z42" s="56"/>
      <c r="AA42" s="56"/>
      <c r="AB42" s="52">
        <v>45839</v>
      </c>
      <c r="AC42" s="46">
        <v>45897</v>
      </c>
      <c r="AD42" s="47" t="s">
        <v>107</v>
      </c>
      <c r="AE42" s="47" t="s">
        <v>108</v>
      </c>
      <c r="AF42" s="50">
        <v>2651.6</v>
      </c>
      <c r="AG42" s="50">
        <v>2668.8</v>
      </c>
      <c r="AH42" s="50">
        <v>2630.1</v>
      </c>
      <c r="AI42" s="50">
        <v>2647</v>
      </c>
      <c r="AJ42" s="50">
        <v>2647.4</v>
      </c>
      <c r="AK42" s="50">
        <v>2647</v>
      </c>
      <c r="AL42" s="50">
        <v>57300</v>
      </c>
      <c r="AM42" s="50" t="s">
        <v>570</v>
      </c>
      <c r="AN42" s="50" t="s">
        <v>570</v>
      </c>
      <c r="AO42" s="50" t="s">
        <v>571</v>
      </c>
      <c r="AP42" s="50">
        <v>7800</v>
      </c>
      <c r="AQ42" s="52">
        <v>45870</v>
      </c>
      <c r="AR42" s="46">
        <v>45930</v>
      </c>
      <c r="AS42" s="51" t="s">
        <v>107</v>
      </c>
      <c r="AT42" s="51" t="s">
        <v>108</v>
      </c>
      <c r="AU42" s="50">
        <v>2440</v>
      </c>
      <c r="AV42" s="50">
        <v>2468.9</v>
      </c>
      <c r="AW42" s="50">
        <v>2355.4</v>
      </c>
      <c r="AX42" s="50">
        <v>2369.1999999999998</v>
      </c>
      <c r="AY42" s="50">
        <v>2355.4</v>
      </c>
      <c r="AZ42" s="50">
        <v>2369.1999999999998</v>
      </c>
      <c r="BA42" s="50" t="s">
        <v>572</v>
      </c>
      <c r="BB42" s="50" t="s">
        <v>573</v>
      </c>
      <c r="BC42" s="50" t="s">
        <v>573</v>
      </c>
      <c r="BD42" s="50" t="s">
        <v>574</v>
      </c>
      <c r="BE42" s="50">
        <v>13800</v>
      </c>
    </row>
    <row r="43" spans="1:57" x14ac:dyDescent="0.3">
      <c r="A43" s="46">
        <v>45869</v>
      </c>
      <c r="B43" s="47" t="s">
        <v>106</v>
      </c>
      <c r="C43" s="48">
        <v>2509.9</v>
      </c>
      <c r="D43" s="48">
        <v>2520</v>
      </c>
      <c r="E43" s="48">
        <v>2422.6</v>
      </c>
      <c r="F43" s="48">
        <v>2532.9</v>
      </c>
      <c r="G43" s="48">
        <v>2430</v>
      </c>
      <c r="H43" s="48">
        <v>2430.6999999999998</v>
      </c>
      <c r="I43" s="48">
        <v>2466.4699999999998</v>
      </c>
      <c r="J43" s="48">
        <v>3258</v>
      </c>
      <c r="K43" s="48">
        <v>2025</v>
      </c>
      <c r="L43" s="49" t="s">
        <v>575</v>
      </c>
      <c r="M43" s="49" t="s">
        <v>576</v>
      </c>
      <c r="N43" s="50">
        <v>74728</v>
      </c>
      <c r="AD43" s="58"/>
      <c r="AE43" s="58"/>
      <c r="AF43" s="53"/>
      <c r="AG43" s="53"/>
      <c r="AH43" s="54"/>
      <c r="AI43" s="54"/>
      <c r="AJ43" s="54"/>
      <c r="AK43" s="54"/>
      <c r="AL43" s="54"/>
      <c r="AM43" s="54"/>
      <c r="AN43" s="55"/>
      <c r="AO43" s="56"/>
      <c r="AP43" s="56"/>
      <c r="AQ43" s="46">
        <v>45869</v>
      </c>
      <c r="AR43" s="46">
        <v>45930</v>
      </c>
      <c r="AS43" s="51" t="s">
        <v>107</v>
      </c>
      <c r="AT43" s="51" t="s">
        <v>108</v>
      </c>
      <c r="AU43" s="50">
        <v>2542.8000000000002</v>
      </c>
      <c r="AV43" s="50">
        <v>2542.9</v>
      </c>
      <c r="AW43" s="50">
        <v>2447.6999999999998</v>
      </c>
      <c r="AX43" s="50">
        <v>2454.6999999999998</v>
      </c>
      <c r="AY43" s="50">
        <v>2459.4</v>
      </c>
      <c r="AZ43" s="50">
        <v>2454.6999999999998</v>
      </c>
      <c r="BA43" s="50" t="s">
        <v>577</v>
      </c>
      <c r="BB43" s="50" t="s">
        <v>578</v>
      </c>
      <c r="BC43" s="50" t="s">
        <v>578</v>
      </c>
      <c r="BD43" s="50" t="s">
        <v>579</v>
      </c>
      <c r="BE43" s="50">
        <v>37500</v>
      </c>
    </row>
    <row r="44" spans="1:57" x14ac:dyDescent="0.3">
      <c r="A44" s="46">
        <v>45868</v>
      </c>
      <c r="B44" s="47" t="s">
        <v>106</v>
      </c>
      <c r="C44" s="48">
        <v>2547.9</v>
      </c>
      <c r="D44" s="48">
        <v>2552.6</v>
      </c>
      <c r="E44" s="48">
        <v>2525</v>
      </c>
      <c r="F44" s="48">
        <v>2547.9</v>
      </c>
      <c r="G44" s="48">
        <v>2527</v>
      </c>
      <c r="H44" s="48">
        <v>2532.9</v>
      </c>
      <c r="I44" s="48">
        <v>2541.06</v>
      </c>
      <c r="J44" s="48">
        <v>3258</v>
      </c>
      <c r="K44" s="48">
        <v>2025</v>
      </c>
      <c r="L44" s="49" t="s">
        <v>580</v>
      </c>
      <c r="M44" s="49" t="s">
        <v>581</v>
      </c>
      <c r="N44" s="50">
        <v>22733</v>
      </c>
      <c r="AD44" s="58"/>
      <c r="AE44" s="58"/>
      <c r="AF44" s="53"/>
      <c r="AG44" s="53"/>
      <c r="AH44" s="54"/>
      <c r="AI44" s="54"/>
      <c r="AJ44" s="54"/>
      <c r="AK44" s="54"/>
      <c r="AL44" s="54"/>
      <c r="AM44" s="54"/>
      <c r="AN44" s="57"/>
      <c r="AO44" s="56"/>
      <c r="AP44" s="56"/>
      <c r="AQ44" s="46">
        <v>45868</v>
      </c>
      <c r="AR44" s="46">
        <v>45930</v>
      </c>
      <c r="AS44" s="51" t="s">
        <v>107</v>
      </c>
      <c r="AT44" s="51" t="s">
        <v>108</v>
      </c>
      <c r="AU44" s="50">
        <v>2575.1999999999998</v>
      </c>
      <c r="AV44" s="50">
        <v>2580.6999999999998</v>
      </c>
      <c r="AW44" s="50">
        <v>2559</v>
      </c>
      <c r="AX44" s="50">
        <v>2562.6999999999998</v>
      </c>
      <c r="AY44" s="50">
        <v>2561.6999999999998</v>
      </c>
      <c r="AZ44" s="50">
        <v>2562.6999999999998</v>
      </c>
      <c r="BA44" s="50">
        <v>60900</v>
      </c>
      <c r="BB44" s="50" t="s">
        <v>582</v>
      </c>
      <c r="BC44" s="50" t="s">
        <v>582</v>
      </c>
      <c r="BD44" s="50" t="s">
        <v>583</v>
      </c>
      <c r="BE44" s="50">
        <v>53100</v>
      </c>
    </row>
    <row r="45" spans="1:57" x14ac:dyDescent="0.3">
      <c r="A45" s="46">
        <v>45867</v>
      </c>
      <c r="B45" s="47" t="s">
        <v>106</v>
      </c>
      <c r="C45" s="48">
        <v>2529</v>
      </c>
      <c r="D45" s="48">
        <v>2557.4</v>
      </c>
      <c r="E45" s="48">
        <v>2507.5</v>
      </c>
      <c r="F45" s="48">
        <v>2522.3000000000002</v>
      </c>
      <c r="G45" s="48">
        <v>2545.5</v>
      </c>
      <c r="H45" s="48">
        <v>2547.9</v>
      </c>
      <c r="I45" s="48">
        <v>2534.7199999999998</v>
      </c>
      <c r="J45" s="48">
        <v>3258</v>
      </c>
      <c r="K45" s="48">
        <v>2025</v>
      </c>
      <c r="L45" s="49" t="s">
        <v>584</v>
      </c>
      <c r="M45" s="49" t="s">
        <v>585</v>
      </c>
      <c r="N45" s="50">
        <v>32528</v>
      </c>
      <c r="AD45" s="58"/>
      <c r="AE45" s="58"/>
      <c r="AF45" s="53"/>
      <c r="AG45" s="53"/>
      <c r="AH45" s="54"/>
      <c r="AI45" s="54"/>
      <c r="AJ45" s="54"/>
      <c r="AK45" s="54"/>
      <c r="AL45" s="54"/>
      <c r="AM45" s="54"/>
      <c r="AN45" s="57"/>
      <c r="AO45" s="56"/>
      <c r="AP45" s="56"/>
      <c r="AQ45" s="46">
        <v>45867</v>
      </c>
      <c r="AR45" s="46">
        <v>45930</v>
      </c>
      <c r="AS45" s="51" t="s">
        <v>107</v>
      </c>
      <c r="AT45" s="51" t="s">
        <v>108</v>
      </c>
      <c r="AU45" s="50">
        <v>2566</v>
      </c>
      <c r="AV45" s="50">
        <v>2589.6999999999998</v>
      </c>
      <c r="AW45" s="50">
        <v>2537.5</v>
      </c>
      <c r="AX45" s="50">
        <v>2578</v>
      </c>
      <c r="AY45" s="50">
        <v>2578</v>
      </c>
      <c r="AZ45" s="50">
        <v>2574.9</v>
      </c>
      <c r="BA45" s="50">
        <v>14400</v>
      </c>
      <c r="BB45" s="50" t="s">
        <v>586</v>
      </c>
      <c r="BC45" s="50" t="s">
        <v>586</v>
      </c>
      <c r="BD45" s="50">
        <v>78600</v>
      </c>
      <c r="BE45" s="50">
        <v>9600</v>
      </c>
    </row>
    <row r="46" spans="1:57" x14ac:dyDescent="0.3">
      <c r="A46" s="46">
        <v>45866</v>
      </c>
      <c r="B46" s="47" t="s">
        <v>106</v>
      </c>
      <c r="C46" s="48">
        <v>2549</v>
      </c>
      <c r="D46" s="48">
        <v>2585</v>
      </c>
      <c r="E46" s="48">
        <v>2512.6</v>
      </c>
      <c r="F46" s="48">
        <v>2550.1</v>
      </c>
      <c r="G46" s="48">
        <v>2528</v>
      </c>
      <c r="H46" s="48">
        <v>2522.3000000000002</v>
      </c>
      <c r="I46" s="48">
        <v>2545.5500000000002</v>
      </c>
      <c r="J46" s="48">
        <v>3258</v>
      </c>
      <c r="K46" s="48">
        <v>2025</v>
      </c>
      <c r="L46" s="49" t="s">
        <v>587</v>
      </c>
      <c r="M46" s="49" t="s">
        <v>588</v>
      </c>
      <c r="N46" s="50">
        <v>33834</v>
      </c>
      <c r="AD46" s="58"/>
      <c r="AE46" s="58"/>
      <c r="AF46" s="53"/>
      <c r="AG46" s="53"/>
      <c r="AH46" s="54"/>
      <c r="AI46" s="54"/>
      <c r="AJ46" s="54"/>
      <c r="AK46" s="54"/>
      <c r="AL46" s="54"/>
      <c r="AM46" s="54"/>
      <c r="AN46" s="57"/>
      <c r="AO46" s="56"/>
      <c r="AP46" s="56"/>
      <c r="AQ46" s="46">
        <v>45866</v>
      </c>
      <c r="AR46" s="46">
        <v>45930</v>
      </c>
      <c r="AS46" s="51" t="s">
        <v>107</v>
      </c>
      <c r="AT46" s="51" t="s">
        <v>108</v>
      </c>
      <c r="AU46" s="50">
        <v>2578.3000000000002</v>
      </c>
      <c r="AV46" s="50">
        <v>2616.9</v>
      </c>
      <c r="AW46" s="50">
        <v>2543.4</v>
      </c>
      <c r="AX46" s="50">
        <v>2555</v>
      </c>
      <c r="AY46" s="50">
        <v>2555.6999999999998</v>
      </c>
      <c r="AZ46" s="50">
        <v>2555</v>
      </c>
      <c r="BA46" s="50">
        <v>28800</v>
      </c>
      <c r="BB46" s="50" t="s">
        <v>589</v>
      </c>
      <c r="BC46" s="50" t="s">
        <v>589</v>
      </c>
      <c r="BD46" s="50">
        <v>69000</v>
      </c>
      <c r="BE46" s="50">
        <v>9600</v>
      </c>
    </row>
    <row r="47" spans="1:57" x14ac:dyDescent="0.3">
      <c r="A47" s="46">
        <v>45863</v>
      </c>
      <c r="B47" s="47" t="s">
        <v>106</v>
      </c>
      <c r="C47" s="48">
        <v>2605</v>
      </c>
      <c r="D47" s="48">
        <v>2617</v>
      </c>
      <c r="E47" s="48">
        <v>2544.1</v>
      </c>
      <c r="F47" s="48">
        <v>2608.4</v>
      </c>
      <c r="G47" s="48">
        <v>2549.5</v>
      </c>
      <c r="H47" s="48">
        <v>2550.1</v>
      </c>
      <c r="I47" s="48">
        <v>2568.46</v>
      </c>
      <c r="J47" s="48">
        <v>3258</v>
      </c>
      <c r="K47" s="48">
        <v>2025</v>
      </c>
      <c r="L47" s="49" t="s">
        <v>590</v>
      </c>
      <c r="M47" s="49" t="s">
        <v>591</v>
      </c>
      <c r="N47" s="50">
        <v>30247</v>
      </c>
      <c r="AD47" s="58"/>
      <c r="AE47" s="58"/>
      <c r="AF47" s="53"/>
      <c r="AG47" s="53"/>
      <c r="AH47" s="54"/>
      <c r="AI47" s="54"/>
      <c r="AJ47" s="54"/>
      <c r="AK47" s="54"/>
      <c r="AL47" s="54"/>
      <c r="AM47" s="54"/>
      <c r="AN47" s="57"/>
      <c r="AO47" s="56"/>
      <c r="AP47" s="56"/>
      <c r="AQ47" s="46">
        <v>45863</v>
      </c>
      <c r="AR47" s="46">
        <v>45930</v>
      </c>
      <c r="AS47" s="51" t="s">
        <v>107</v>
      </c>
      <c r="AT47" s="51" t="s">
        <v>108</v>
      </c>
      <c r="AU47" s="50">
        <v>2630.9</v>
      </c>
      <c r="AV47" s="50">
        <v>2650</v>
      </c>
      <c r="AW47" s="50">
        <v>2575</v>
      </c>
      <c r="AX47" s="50">
        <v>2577.1999999999998</v>
      </c>
      <c r="AY47" s="50">
        <v>2576</v>
      </c>
      <c r="AZ47" s="50">
        <v>2577.1999999999998</v>
      </c>
      <c r="BA47" s="50">
        <v>21300</v>
      </c>
      <c r="BB47" s="50" t="s">
        <v>592</v>
      </c>
      <c r="BC47" s="50" t="s">
        <v>592</v>
      </c>
      <c r="BD47" s="50">
        <v>59400</v>
      </c>
      <c r="BE47" s="50">
        <v>10200</v>
      </c>
    </row>
    <row r="48" spans="1:57" x14ac:dyDescent="0.3">
      <c r="A48" s="46">
        <v>45862</v>
      </c>
      <c r="B48" s="47" t="s">
        <v>106</v>
      </c>
      <c r="C48" s="48">
        <v>2615.4</v>
      </c>
      <c r="D48" s="48">
        <v>2624.2</v>
      </c>
      <c r="E48" s="48">
        <v>2595</v>
      </c>
      <c r="F48" s="48">
        <v>2614.5</v>
      </c>
      <c r="G48" s="48">
        <v>2608</v>
      </c>
      <c r="H48" s="48">
        <v>2608.4</v>
      </c>
      <c r="I48" s="48">
        <v>2607.65</v>
      </c>
      <c r="J48" s="48">
        <v>3258</v>
      </c>
      <c r="K48" s="48">
        <v>2025</v>
      </c>
      <c r="L48" s="49" t="s">
        <v>593</v>
      </c>
      <c r="M48" s="49" t="s">
        <v>594</v>
      </c>
      <c r="N48" s="50">
        <v>22026</v>
      </c>
      <c r="AD48" s="58"/>
      <c r="AE48" s="58"/>
      <c r="AF48" s="53"/>
      <c r="AG48" s="53"/>
      <c r="AH48" s="54"/>
      <c r="AI48" s="54"/>
      <c r="AJ48" s="54"/>
      <c r="AK48" s="54"/>
      <c r="AL48" s="54"/>
      <c r="AM48" s="54"/>
      <c r="AN48" s="57"/>
      <c r="AO48" s="56"/>
      <c r="AP48" s="56"/>
      <c r="AQ48" s="46">
        <v>45862</v>
      </c>
      <c r="AR48" s="46">
        <v>45930</v>
      </c>
      <c r="AS48" s="51" t="s">
        <v>107</v>
      </c>
      <c r="AT48" s="51" t="s">
        <v>108</v>
      </c>
      <c r="AU48" s="50">
        <v>2657.7</v>
      </c>
      <c r="AV48" s="50">
        <v>2658.9</v>
      </c>
      <c r="AW48" s="50">
        <v>2632</v>
      </c>
      <c r="AX48" s="50">
        <v>2641.1</v>
      </c>
      <c r="AY48" s="50">
        <v>2641.1</v>
      </c>
      <c r="AZ48" s="50">
        <v>2641.1</v>
      </c>
      <c r="BA48" s="50">
        <v>7500</v>
      </c>
      <c r="BB48" s="50" t="s">
        <v>595</v>
      </c>
      <c r="BC48" s="50" t="s">
        <v>595</v>
      </c>
      <c r="BD48" s="50">
        <v>49200</v>
      </c>
      <c r="BE48" s="50">
        <v>3600</v>
      </c>
    </row>
    <row r="49" spans="1:57" x14ac:dyDescent="0.3">
      <c r="A49" s="46">
        <v>45861</v>
      </c>
      <c r="B49" s="47" t="s">
        <v>106</v>
      </c>
      <c r="C49" s="48">
        <v>2600.6999999999998</v>
      </c>
      <c r="D49" s="48">
        <v>2625.9</v>
      </c>
      <c r="E49" s="48">
        <v>2593.5</v>
      </c>
      <c r="F49" s="48">
        <v>2587.8000000000002</v>
      </c>
      <c r="G49" s="48">
        <v>2615.5</v>
      </c>
      <c r="H49" s="48">
        <v>2614.5</v>
      </c>
      <c r="I49" s="48">
        <v>2612.73</v>
      </c>
      <c r="J49" s="48">
        <v>3258</v>
      </c>
      <c r="K49" s="48">
        <v>2025</v>
      </c>
      <c r="L49" s="49" t="s">
        <v>596</v>
      </c>
      <c r="M49" s="49" t="s">
        <v>597</v>
      </c>
      <c r="N49" s="50">
        <v>24447</v>
      </c>
      <c r="AD49" s="58"/>
      <c r="AE49" s="58"/>
      <c r="AF49" s="53"/>
      <c r="AG49" s="53"/>
      <c r="AH49" s="54"/>
      <c r="AI49" s="54"/>
      <c r="AJ49" s="54"/>
      <c r="AK49" s="54"/>
      <c r="AL49" s="54"/>
      <c r="AM49" s="54"/>
      <c r="AN49" s="57"/>
      <c r="AO49" s="56"/>
      <c r="AP49" s="56"/>
      <c r="AQ49" s="46">
        <v>45861</v>
      </c>
      <c r="AR49" s="46">
        <v>45930</v>
      </c>
      <c r="AS49" s="51" t="s">
        <v>107</v>
      </c>
      <c r="AT49" s="51" t="s">
        <v>108</v>
      </c>
      <c r="AU49" s="50">
        <v>2641.1</v>
      </c>
      <c r="AV49" s="50">
        <v>2654.1</v>
      </c>
      <c r="AW49" s="50">
        <v>2641.1</v>
      </c>
      <c r="AX49" s="50">
        <v>2651.2</v>
      </c>
      <c r="AY49" s="50">
        <v>2650</v>
      </c>
      <c r="AZ49" s="50">
        <v>2651.2</v>
      </c>
      <c r="BA49" s="50">
        <v>5700</v>
      </c>
      <c r="BB49" s="50" t="s">
        <v>598</v>
      </c>
      <c r="BC49" s="50" t="s">
        <v>598</v>
      </c>
      <c r="BD49" s="50">
        <v>45600</v>
      </c>
      <c r="BE49" s="50">
        <v>2700</v>
      </c>
    </row>
    <row r="50" spans="1:57" x14ac:dyDescent="0.3">
      <c r="A50" s="46">
        <v>45860</v>
      </c>
      <c r="B50" s="47" t="s">
        <v>106</v>
      </c>
      <c r="C50" s="48">
        <v>2626</v>
      </c>
      <c r="D50" s="48">
        <v>2630</v>
      </c>
      <c r="E50" s="48">
        <v>2581.6</v>
      </c>
      <c r="F50" s="48">
        <v>2619.5</v>
      </c>
      <c r="G50" s="48">
        <v>2593.9</v>
      </c>
      <c r="H50" s="48">
        <v>2587.8000000000002</v>
      </c>
      <c r="I50" s="48">
        <v>2599.9899999999998</v>
      </c>
      <c r="J50" s="48">
        <v>3258</v>
      </c>
      <c r="K50" s="48">
        <v>2025</v>
      </c>
      <c r="L50" s="49" t="s">
        <v>599</v>
      </c>
      <c r="M50" s="49" t="s">
        <v>600</v>
      </c>
      <c r="N50" s="50">
        <v>25897</v>
      </c>
      <c r="AD50" s="58"/>
      <c r="AE50" s="58"/>
      <c r="AF50" s="53"/>
      <c r="AG50" s="53"/>
      <c r="AH50" s="54"/>
      <c r="AI50" s="54"/>
      <c r="AJ50" s="54"/>
      <c r="AK50" s="54"/>
      <c r="AL50" s="54"/>
      <c r="AM50" s="54"/>
      <c r="AN50" s="57"/>
      <c r="AO50" s="56"/>
      <c r="AP50" s="56"/>
      <c r="AQ50" s="46">
        <v>45860</v>
      </c>
      <c r="AR50" s="46">
        <v>45930</v>
      </c>
      <c r="AS50" s="51" t="s">
        <v>107</v>
      </c>
      <c r="AT50" s="51" t="s">
        <v>108</v>
      </c>
      <c r="AU50" s="50">
        <v>2645</v>
      </c>
      <c r="AV50" s="50">
        <v>2652</v>
      </c>
      <c r="AW50" s="50">
        <v>2618</v>
      </c>
      <c r="AX50" s="50">
        <v>2621.1999999999998</v>
      </c>
      <c r="AY50" s="50">
        <v>2624.5</v>
      </c>
      <c r="AZ50" s="50">
        <v>2621.1999999999998</v>
      </c>
      <c r="BA50" s="50">
        <v>6300</v>
      </c>
      <c r="BB50" s="50" t="s">
        <v>601</v>
      </c>
      <c r="BC50" s="50" t="s">
        <v>601</v>
      </c>
      <c r="BD50" s="50">
        <v>42900</v>
      </c>
      <c r="BE50" s="50">
        <v>4200</v>
      </c>
    </row>
    <row r="51" spans="1:57" x14ac:dyDescent="0.3">
      <c r="A51" s="46">
        <v>45859</v>
      </c>
      <c r="B51" s="47" t="s">
        <v>106</v>
      </c>
      <c r="C51" s="48">
        <v>2596.3000000000002</v>
      </c>
      <c r="D51" s="48">
        <v>2624.9</v>
      </c>
      <c r="E51" s="48">
        <v>2585</v>
      </c>
      <c r="F51" s="48">
        <v>2596.1</v>
      </c>
      <c r="G51" s="48">
        <v>2615.6999999999998</v>
      </c>
      <c r="H51" s="48">
        <v>2619.5</v>
      </c>
      <c r="I51" s="48">
        <v>2612.2199999999998</v>
      </c>
      <c r="J51" s="48">
        <v>3258</v>
      </c>
      <c r="K51" s="48">
        <v>2025</v>
      </c>
      <c r="L51" s="49" t="s">
        <v>602</v>
      </c>
      <c r="M51" s="49" t="s">
        <v>603</v>
      </c>
      <c r="N51" s="50">
        <v>28077</v>
      </c>
      <c r="AD51" s="58"/>
      <c r="AE51" s="58"/>
      <c r="AF51" s="53"/>
      <c r="AG51" s="53"/>
      <c r="AH51" s="54"/>
      <c r="AI51" s="54"/>
      <c r="AJ51" s="54"/>
      <c r="AK51" s="54"/>
      <c r="AL51" s="54"/>
      <c r="AM51" s="54"/>
      <c r="AN51" s="57"/>
      <c r="AO51" s="56"/>
      <c r="AP51" s="56"/>
      <c r="AQ51" s="46">
        <v>45859</v>
      </c>
      <c r="AR51" s="46">
        <v>45930</v>
      </c>
      <c r="AS51" s="47" t="s">
        <v>107</v>
      </c>
      <c r="AT51" s="47" t="s">
        <v>108</v>
      </c>
      <c r="AU51" s="48">
        <v>2640</v>
      </c>
      <c r="AV51" s="48">
        <v>2648</v>
      </c>
      <c r="AW51" s="48">
        <v>2640</v>
      </c>
      <c r="AX51" s="48">
        <v>2645</v>
      </c>
      <c r="AY51" s="48">
        <v>2645</v>
      </c>
      <c r="AZ51" s="48">
        <v>2650.6</v>
      </c>
      <c r="BA51" s="50">
        <v>1800</v>
      </c>
      <c r="BB51" s="49" t="s">
        <v>604</v>
      </c>
      <c r="BC51" s="49" t="s">
        <v>604</v>
      </c>
      <c r="BD51" s="50">
        <v>38700</v>
      </c>
      <c r="BE51" s="49">
        <v>300</v>
      </c>
    </row>
    <row r="52" spans="1:57" x14ac:dyDescent="0.3">
      <c r="A52" s="46">
        <v>45856</v>
      </c>
      <c r="B52" s="47" t="s">
        <v>106</v>
      </c>
      <c r="C52" s="48">
        <v>2612</v>
      </c>
      <c r="D52" s="48">
        <v>2626.7</v>
      </c>
      <c r="E52" s="48">
        <v>2584.1999999999998</v>
      </c>
      <c r="F52" s="48">
        <v>2616.6</v>
      </c>
      <c r="G52" s="48">
        <v>2594.1999999999998</v>
      </c>
      <c r="H52" s="48">
        <v>2596.1</v>
      </c>
      <c r="I52" s="48">
        <v>2599.8000000000002</v>
      </c>
      <c r="J52" s="48">
        <v>3258</v>
      </c>
      <c r="K52" s="48">
        <v>2025</v>
      </c>
      <c r="L52" s="49" t="s">
        <v>605</v>
      </c>
      <c r="M52" s="49" t="s">
        <v>606</v>
      </c>
      <c r="N52" s="50">
        <v>32389</v>
      </c>
      <c r="AD52" s="58"/>
      <c r="AE52" s="58"/>
      <c r="AF52" s="53"/>
      <c r="AG52" s="53"/>
      <c r="AH52" s="54"/>
      <c r="AI52" s="54"/>
      <c r="AJ52" s="54"/>
      <c r="AK52" s="54"/>
      <c r="AL52" s="54"/>
      <c r="AM52" s="54"/>
      <c r="AN52" s="57"/>
      <c r="AO52" s="56"/>
      <c r="AP52" s="56"/>
      <c r="AQ52" s="46">
        <v>45856</v>
      </c>
      <c r="AR52" s="46">
        <v>45930</v>
      </c>
      <c r="AS52" s="51" t="s">
        <v>107</v>
      </c>
      <c r="AT52" s="51" t="s">
        <v>108</v>
      </c>
      <c r="AU52" s="50">
        <v>2656</v>
      </c>
      <c r="AV52" s="50">
        <v>2656</v>
      </c>
      <c r="AW52" s="50">
        <v>2620.9</v>
      </c>
      <c r="AX52" s="50">
        <v>2635</v>
      </c>
      <c r="AY52" s="50">
        <v>2635</v>
      </c>
      <c r="AZ52" s="50">
        <v>2635</v>
      </c>
      <c r="BA52" s="50">
        <v>4200</v>
      </c>
      <c r="BB52" s="50" t="s">
        <v>607</v>
      </c>
      <c r="BC52" s="50" t="s">
        <v>607</v>
      </c>
      <c r="BD52" s="50">
        <v>38400</v>
      </c>
      <c r="BE52" s="50">
        <v>2700</v>
      </c>
    </row>
    <row r="53" spans="1:57" x14ac:dyDescent="0.3">
      <c r="A53" s="46">
        <v>45855</v>
      </c>
      <c r="B53" s="47" t="s">
        <v>106</v>
      </c>
      <c r="C53" s="48">
        <v>2612</v>
      </c>
      <c r="D53" s="48">
        <v>2654.5</v>
      </c>
      <c r="E53" s="48">
        <v>2605.3000000000002</v>
      </c>
      <c r="F53" s="48">
        <v>2608.5</v>
      </c>
      <c r="G53" s="48">
        <v>2614.9</v>
      </c>
      <c r="H53" s="48">
        <v>2616.6</v>
      </c>
      <c r="I53" s="48">
        <v>2628.55</v>
      </c>
      <c r="J53" s="48">
        <v>3258</v>
      </c>
      <c r="K53" s="48">
        <v>2025</v>
      </c>
      <c r="L53" s="49" t="s">
        <v>608</v>
      </c>
      <c r="M53" s="49" t="s">
        <v>609</v>
      </c>
      <c r="N53" s="50">
        <v>43962</v>
      </c>
      <c r="AD53" s="58"/>
      <c r="AE53" s="58"/>
      <c r="AF53" s="53"/>
      <c r="AG53" s="53"/>
      <c r="AH53" s="54"/>
      <c r="AI53" s="54"/>
      <c r="AJ53" s="54"/>
      <c r="AK53" s="54"/>
      <c r="AL53" s="54"/>
      <c r="AM53" s="54"/>
      <c r="AN53" s="57"/>
      <c r="AO53" s="56"/>
      <c r="AP53" s="56"/>
      <c r="AQ53" s="46">
        <v>45855</v>
      </c>
      <c r="AR53" s="46">
        <v>45930</v>
      </c>
      <c r="AS53" s="51" t="s">
        <v>107</v>
      </c>
      <c r="AT53" s="51" t="s">
        <v>108</v>
      </c>
      <c r="AU53" s="50">
        <v>2655</v>
      </c>
      <c r="AV53" s="50">
        <v>2690</v>
      </c>
      <c r="AW53" s="50">
        <v>2653.6</v>
      </c>
      <c r="AX53" s="50">
        <v>2656.9</v>
      </c>
      <c r="AY53" s="50">
        <v>2657</v>
      </c>
      <c r="AZ53" s="50">
        <v>2656.9</v>
      </c>
      <c r="BA53" s="50">
        <v>10200</v>
      </c>
      <c r="BB53" s="50" t="s">
        <v>610</v>
      </c>
      <c r="BC53" s="50" t="s">
        <v>610</v>
      </c>
      <c r="BD53" s="50">
        <v>35700</v>
      </c>
      <c r="BE53" s="50">
        <v>4500</v>
      </c>
    </row>
    <row r="54" spans="1:57" x14ac:dyDescent="0.3">
      <c r="A54" s="46">
        <v>45854</v>
      </c>
      <c r="B54" s="47" t="s">
        <v>106</v>
      </c>
      <c r="C54" s="48">
        <v>2602.5</v>
      </c>
      <c r="D54" s="48">
        <v>2619.5</v>
      </c>
      <c r="E54" s="48">
        <v>2595.5</v>
      </c>
      <c r="F54" s="48">
        <v>2598.1999999999998</v>
      </c>
      <c r="G54" s="48">
        <v>2608.1999999999998</v>
      </c>
      <c r="H54" s="48">
        <v>2608.5</v>
      </c>
      <c r="I54" s="48">
        <v>2610.5500000000002</v>
      </c>
      <c r="J54" s="48">
        <v>3258</v>
      </c>
      <c r="K54" s="48">
        <v>2025</v>
      </c>
      <c r="L54" s="49" t="s">
        <v>611</v>
      </c>
      <c r="M54" s="49" t="s">
        <v>612</v>
      </c>
      <c r="N54" s="50">
        <v>37057</v>
      </c>
      <c r="AD54" s="58"/>
      <c r="AE54" s="58"/>
      <c r="AF54" s="53"/>
      <c r="AG54" s="53"/>
      <c r="AH54" s="54"/>
      <c r="AI54" s="54"/>
      <c r="AJ54" s="54"/>
      <c r="AK54" s="54"/>
      <c r="AL54" s="54"/>
      <c r="AM54" s="54"/>
      <c r="AN54" s="57"/>
      <c r="AO54" s="56"/>
      <c r="AP54" s="56"/>
      <c r="AQ54" s="46">
        <v>45854</v>
      </c>
      <c r="AR54" s="46">
        <v>45930</v>
      </c>
      <c r="AS54" s="47" t="s">
        <v>107</v>
      </c>
      <c r="AT54" s="47" t="s">
        <v>108</v>
      </c>
      <c r="AU54" s="48">
        <v>2645.1</v>
      </c>
      <c r="AV54" s="48">
        <v>2651.2</v>
      </c>
      <c r="AW54" s="48">
        <v>2632.6</v>
      </c>
      <c r="AX54" s="48">
        <v>2646.7</v>
      </c>
      <c r="AY54" s="48">
        <v>2646.7</v>
      </c>
      <c r="AZ54" s="48">
        <v>2646.7</v>
      </c>
      <c r="BA54" s="50">
        <v>4500</v>
      </c>
      <c r="BB54" s="49" t="s">
        <v>613</v>
      </c>
      <c r="BC54" s="49" t="s">
        <v>613</v>
      </c>
      <c r="BD54" s="50">
        <v>31200</v>
      </c>
      <c r="BE54" s="49">
        <v>600</v>
      </c>
    </row>
    <row r="55" spans="1:57" x14ac:dyDescent="0.3">
      <c r="A55" s="46">
        <v>45853</v>
      </c>
      <c r="B55" s="47" t="s">
        <v>106</v>
      </c>
      <c r="C55" s="48">
        <v>2588</v>
      </c>
      <c r="D55" s="48">
        <v>2606.9</v>
      </c>
      <c r="E55" s="48">
        <v>2576</v>
      </c>
      <c r="F55" s="48">
        <v>2581.3000000000002</v>
      </c>
      <c r="G55" s="48">
        <v>2603.1</v>
      </c>
      <c r="H55" s="48">
        <v>2598.1999999999998</v>
      </c>
      <c r="I55" s="48">
        <v>2593.15</v>
      </c>
      <c r="J55" s="48">
        <v>3258</v>
      </c>
      <c r="K55" s="48">
        <v>2025</v>
      </c>
      <c r="L55" s="49" t="s">
        <v>614</v>
      </c>
      <c r="M55" s="49" t="s">
        <v>615</v>
      </c>
      <c r="N55" s="50">
        <v>24377</v>
      </c>
      <c r="AD55" s="58"/>
      <c r="AE55" s="58"/>
      <c r="AF55" s="53"/>
      <c r="AG55" s="53"/>
      <c r="AH55" s="54"/>
      <c r="AI55" s="54"/>
      <c r="AJ55" s="54"/>
      <c r="AK55" s="54"/>
      <c r="AL55" s="54"/>
      <c r="AM55" s="54"/>
      <c r="AN55" s="57"/>
      <c r="AO55" s="56"/>
      <c r="AP55" s="56"/>
      <c r="AQ55" s="46">
        <v>45853</v>
      </c>
      <c r="AR55" s="46">
        <v>45930</v>
      </c>
      <c r="AS55" s="51" t="s">
        <v>107</v>
      </c>
      <c r="AT55" s="51" t="s">
        <v>108</v>
      </c>
      <c r="AU55" s="50">
        <v>2622.7</v>
      </c>
      <c r="AV55" s="50">
        <v>2644</v>
      </c>
      <c r="AW55" s="50">
        <v>2622.7</v>
      </c>
      <c r="AX55" s="50">
        <v>2630.8</v>
      </c>
      <c r="AY55" s="50">
        <v>2630.8</v>
      </c>
      <c r="AZ55" s="50">
        <v>2630.8</v>
      </c>
      <c r="BA55" s="50">
        <v>5100</v>
      </c>
      <c r="BB55" s="50" t="s">
        <v>616</v>
      </c>
      <c r="BC55" s="50" t="s">
        <v>616</v>
      </c>
      <c r="BD55" s="50">
        <v>30600</v>
      </c>
      <c r="BE55" s="50">
        <v>2400</v>
      </c>
    </row>
    <row r="56" spans="1:57" x14ac:dyDescent="0.3">
      <c r="A56" s="46">
        <v>45852</v>
      </c>
      <c r="B56" s="47" t="s">
        <v>106</v>
      </c>
      <c r="C56" s="48">
        <v>2555</v>
      </c>
      <c r="D56" s="48">
        <v>2604.8000000000002</v>
      </c>
      <c r="E56" s="48">
        <v>2543.5</v>
      </c>
      <c r="F56" s="48">
        <v>2558.6999999999998</v>
      </c>
      <c r="G56" s="48">
        <v>2578</v>
      </c>
      <c r="H56" s="48">
        <v>2581.3000000000002</v>
      </c>
      <c r="I56" s="48">
        <v>2576.63</v>
      </c>
      <c r="J56" s="48">
        <v>3258</v>
      </c>
      <c r="K56" s="48">
        <v>2025</v>
      </c>
      <c r="L56" s="49" t="s">
        <v>617</v>
      </c>
      <c r="M56" s="49" t="s">
        <v>618</v>
      </c>
      <c r="N56" s="50">
        <v>34764</v>
      </c>
      <c r="AD56" s="58"/>
      <c r="AE56" s="58"/>
      <c r="AF56" s="53"/>
      <c r="AG56" s="53"/>
      <c r="AH56" s="54"/>
      <c r="AI56" s="54"/>
      <c r="AJ56" s="54"/>
      <c r="AK56" s="54"/>
      <c r="AL56" s="54"/>
      <c r="AM56" s="54"/>
      <c r="AN56" s="57"/>
      <c r="AO56" s="56"/>
      <c r="AP56" s="56"/>
      <c r="AQ56" s="46">
        <v>45852</v>
      </c>
      <c r="AR56" s="46">
        <v>45930</v>
      </c>
      <c r="AS56" s="51" t="s">
        <v>107</v>
      </c>
      <c r="AT56" s="51" t="s">
        <v>108</v>
      </c>
      <c r="AU56" s="50">
        <v>2599</v>
      </c>
      <c r="AV56" s="50">
        <v>2642</v>
      </c>
      <c r="AW56" s="50">
        <v>2594.5</v>
      </c>
      <c r="AX56" s="50">
        <v>2626</v>
      </c>
      <c r="AY56" s="50">
        <v>2626</v>
      </c>
      <c r="AZ56" s="50">
        <v>2615.1999999999998</v>
      </c>
      <c r="BA56" s="50">
        <v>4500</v>
      </c>
      <c r="BB56" s="50" t="s">
        <v>619</v>
      </c>
      <c r="BC56" s="50" t="s">
        <v>619</v>
      </c>
      <c r="BD56" s="50">
        <v>28200</v>
      </c>
      <c r="BE56" s="50">
        <v>1800</v>
      </c>
    </row>
    <row r="57" spans="1:57" x14ac:dyDescent="0.3">
      <c r="A57" s="46">
        <v>45849</v>
      </c>
      <c r="B57" s="47" t="s">
        <v>106</v>
      </c>
      <c r="C57" s="48">
        <v>2575</v>
      </c>
      <c r="D57" s="48">
        <v>2591.9</v>
      </c>
      <c r="E57" s="48">
        <v>2551.9</v>
      </c>
      <c r="F57" s="48">
        <v>2581</v>
      </c>
      <c r="G57" s="48">
        <v>2562.9</v>
      </c>
      <c r="H57" s="48">
        <v>2558.6999999999998</v>
      </c>
      <c r="I57" s="48">
        <v>2567.75</v>
      </c>
      <c r="J57" s="48">
        <v>3258</v>
      </c>
      <c r="K57" s="48">
        <v>2025</v>
      </c>
      <c r="L57" s="49" t="s">
        <v>620</v>
      </c>
      <c r="M57" s="49" t="s">
        <v>621</v>
      </c>
      <c r="N57" s="50">
        <v>26150</v>
      </c>
      <c r="AD57" s="58"/>
      <c r="AE57" s="58"/>
      <c r="AF57" s="53"/>
      <c r="AG57" s="53"/>
      <c r="AH57" s="54"/>
      <c r="AI57" s="54"/>
      <c r="AJ57" s="54"/>
      <c r="AK57" s="54"/>
      <c r="AL57" s="54"/>
      <c r="AM57" s="54"/>
      <c r="AN57" s="57"/>
      <c r="AO57" s="56"/>
      <c r="AP57" s="56"/>
      <c r="AQ57" s="46">
        <v>45849</v>
      </c>
      <c r="AR57" s="46">
        <v>45930</v>
      </c>
      <c r="AS57" s="47" t="s">
        <v>107</v>
      </c>
      <c r="AT57" s="47" t="s">
        <v>108</v>
      </c>
      <c r="AU57" s="48">
        <v>2622</v>
      </c>
      <c r="AV57" s="48">
        <v>2626</v>
      </c>
      <c r="AW57" s="48">
        <v>2592.3000000000002</v>
      </c>
      <c r="AX57" s="48">
        <v>2601</v>
      </c>
      <c r="AY57" s="48">
        <v>2601</v>
      </c>
      <c r="AZ57" s="48">
        <v>2601</v>
      </c>
      <c r="BA57" s="50">
        <v>3300</v>
      </c>
      <c r="BB57" s="49" t="s">
        <v>622</v>
      </c>
      <c r="BC57" s="49" t="s">
        <v>622</v>
      </c>
      <c r="BD57" s="50">
        <v>26400</v>
      </c>
      <c r="BE57" s="49">
        <v>300</v>
      </c>
    </row>
    <row r="58" spans="1:57" x14ac:dyDescent="0.3">
      <c r="A58" s="46">
        <v>45848</v>
      </c>
      <c r="B58" s="47" t="s">
        <v>106</v>
      </c>
      <c r="C58" s="48">
        <v>2591</v>
      </c>
      <c r="D58" s="48">
        <v>2604</v>
      </c>
      <c r="E58" s="48">
        <v>2575</v>
      </c>
      <c r="F58" s="48">
        <v>2583</v>
      </c>
      <c r="G58" s="48">
        <v>2581</v>
      </c>
      <c r="H58" s="48">
        <v>2581</v>
      </c>
      <c r="I58" s="48">
        <v>2586</v>
      </c>
      <c r="J58" s="48">
        <v>3258</v>
      </c>
      <c r="K58" s="48">
        <v>2025</v>
      </c>
      <c r="L58" s="49" t="s">
        <v>623</v>
      </c>
      <c r="M58" s="49" t="s">
        <v>624</v>
      </c>
      <c r="N58" s="50">
        <v>24631</v>
      </c>
      <c r="AD58" s="58"/>
      <c r="AE58" s="58"/>
      <c r="AF58" s="53"/>
      <c r="AG58" s="53"/>
      <c r="AH58" s="54"/>
      <c r="AI58" s="54"/>
      <c r="AJ58" s="54"/>
      <c r="AK58" s="54"/>
      <c r="AL58" s="54"/>
      <c r="AM58" s="54"/>
      <c r="AN58" s="57"/>
      <c r="AO58" s="56"/>
      <c r="AP58" s="56"/>
      <c r="AQ58" s="46">
        <v>45848</v>
      </c>
      <c r="AR58" s="46">
        <v>45930</v>
      </c>
      <c r="AS58" s="51" t="s">
        <v>107</v>
      </c>
      <c r="AT58" s="51" t="s">
        <v>108</v>
      </c>
      <c r="AU58" s="50">
        <v>2624.6</v>
      </c>
      <c r="AV58" s="50">
        <v>2624.6</v>
      </c>
      <c r="AW58" s="50">
        <v>2620</v>
      </c>
      <c r="AX58" s="50">
        <v>2622</v>
      </c>
      <c r="AY58" s="50">
        <v>2622</v>
      </c>
      <c r="AZ58" s="50">
        <v>2616.6</v>
      </c>
      <c r="BA58" s="50">
        <v>5400</v>
      </c>
      <c r="BB58" s="50" t="s">
        <v>625</v>
      </c>
      <c r="BC58" s="50" t="s">
        <v>625</v>
      </c>
      <c r="BD58" s="50">
        <v>26100</v>
      </c>
      <c r="BE58" s="50">
        <v>-2400</v>
      </c>
    </row>
    <row r="59" spans="1:57" x14ac:dyDescent="0.3">
      <c r="A59" s="52">
        <v>45847</v>
      </c>
      <c r="B59" s="47" t="s">
        <v>106</v>
      </c>
      <c r="C59" s="48">
        <v>2599</v>
      </c>
      <c r="D59" s="48">
        <v>2609.9</v>
      </c>
      <c r="E59" s="48">
        <v>2570</v>
      </c>
      <c r="F59" s="48">
        <v>2591.3000000000002</v>
      </c>
      <c r="G59" s="48">
        <v>2582.3000000000002</v>
      </c>
      <c r="H59" s="48">
        <v>2583</v>
      </c>
      <c r="I59" s="48">
        <v>2588.4699999999998</v>
      </c>
      <c r="J59" s="48">
        <v>3258</v>
      </c>
      <c r="K59" s="48">
        <v>2025</v>
      </c>
      <c r="L59" s="49" t="s">
        <v>626</v>
      </c>
      <c r="M59" s="49" t="s">
        <v>627</v>
      </c>
      <c r="N59" s="50">
        <v>25511</v>
      </c>
      <c r="AD59" s="59"/>
      <c r="AE59" s="58"/>
      <c r="AF59" s="53"/>
      <c r="AG59" s="53"/>
      <c r="AH59" s="54"/>
      <c r="AI59" s="54"/>
      <c r="AJ59" s="54"/>
      <c r="AK59" s="54"/>
      <c r="AL59" s="54"/>
      <c r="AM59" s="54"/>
      <c r="AN59" s="57"/>
      <c r="AO59" s="56"/>
      <c r="AP59" s="56"/>
      <c r="AQ59" s="52">
        <v>45847</v>
      </c>
      <c r="AR59" s="46">
        <v>45930</v>
      </c>
      <c r="AS59" s="51" t="s">
        <v>107</v>
      </c>
      <c r="AT59" s="51" t="s">
        <v>108</v>
      </c>
      <c r="AU59" s="50">
        <v>2634.4</v>
      </c>
      <c r="AV59" s="50">
        <v>2645.9</v>
      </c>
      <c r="AW59" s="50">
        <v>2615</v>
      </c>
      <c r="AX59" s="50">
        <v>2616.3000000000002</v>
      </c>
      <c r="AY59" s="50">
        <v>2616.3000000000002</v>
      </c>
      <c r="AZ59" s="50">
        <v>2619</v>
      </c>
      <c r="BA59" s="50">
        <v>7500</v>
      </c>
      <c r="BB59" s="50" t="s">
        <v>628</v>
      </c>
      <c r="BC59" s="50" t="s">
        <v>628</v>
      </c>
      <c r="BD59" s="50">
        <v>28500</v>
      </c>
      <c r="BE59" s="50">
        <v>6600</v>
      </c>
    </row>
    <row r="60" spans="1:57" x14ac:dyDescent="0.3">
      <c r="A60" s="52">
        <v>45846</v>
      </c>
      <c r="B60" s="47" t="s">
        <v>106</v>
      </c>
      <c r="C60" s="48">
        <v>2586</v>
      </c>
      <c r="D60" s="48">
        <v>2600</v>
      </c>
      <c r="E60" s="48">
        <v>2573</v>
      </c>
      <c r="F60" s="48">
        <v>2576.1</v>
      </c>
      <c r="G60" s="48">
        <v>2588</v>
      </c>
      <c r="H60" s="48">
        <v>2591.3000000000002</v>
      </c>
      <c r="I60" s="48">
        <v>2585.46</v>
      </c>
      <c r="J60" s="48">
        <v>3258</v>
      </c>
      <c r="K60" s="48">
        <v>2025</v>
      </c>
      <c r="L60" s="49" t="s">
        <v>629</v>
      </c>
      <c r="M60" s="49" t="s">
        <v>630</v>
      </c>
      <c r="N60" s="50">
        <v>24369</v>
      </c>
      <c r="AD60" s="59"/>
      <c r="AE60" s="58"/>
      <c r="AF60" s="53"/>
      <c r="AG60" s="53"/>
      <c r="AH60" s="54"/>
      <c r="AI60" s="54"/>
      <c r="AJ60" s="54"/>
      <c r="AK60" s="54"/>
      <c r="AL60" s="54"/>
      <c r="AM60" s="54"/>
      <c r="AN60" s="57"/>
      <c r="AO60" s="56"/>
      <c r="AP60" s="56"/>
      <c r="AQ60" s="52">
        <v>45846</v>
      </c>
      <c r="AR60" s="46">
        <v>45930</v>
      </c>
      <c r="AS60" s="47" t="s">
        <v>107</v>
      </c>
      <c r="AT60" s="47" t="s">
        <v>108</v>
      </c>
      <c r="AU60" s="48">
        <v>2626.6</v>
      </c>
      <c r="AV60" s="48">
        <v>2637</v>
      </c>
      <c r="AW60" s="48">
        <v>2626.6</v>
      </c>
      <c r="AX60" s="48">
        <v>2635.6</v>
      </c>
      <c r="AY60" s="48">
        <v>2637</v>
      </c>
      <c r="AZ60" s="48">
        <v>2635.6</v>
      </c>
      <c r="BA60" s="50">
        <v>1200</v>
      </c>
      <c r="BB60" s="49" t="s">
        <v>631</v>
      </c>
      <c r="BC60" s="49" t="s">
        <v>631</v>
      </c>
      <c r="BD60" s="50">
        <v>21900</v>
      </c>
      <c r="BE60" s="47" t="s">
        <v>108</v>
      </c>
    </row>
    <row r="61" spans="1:57" x14ac:dyDescent="0.3">
      <c r="A61" s="52">
        <v>45845</v>
      </c>
      <c r="B61" s="47" t="s">
        <v>106</v>
      </c>
      <c r="C61" s="48">
        <v>2602</v>
      </c>
      <c r="D61" s="48">
        <v>2605.4</v>
      </c>
      <c r="E61" s="48">
        <v>2572</v>
      </c>
      <c r="F61" s="48">
        <v>2599.1</v>
      </c>
      <c r="G61" s="48">
        <v>2587.6</v>
      </c>
      <c r="H61" s="48">
        <v>2576.1</v>
      </c>
      <c r="I61" s="48">
        <v>2582.98</v>
      </c>
      <c r="J61" s="48">
        <v>3258</v>
      </c>
      <c r="K61" s="48">
        <v>2025</v>
      </c>
      <c r="L61" s="49" t="s">
        <v>632</v>
      </c>
      <c r="M61" s="49" t="s">
        <v>633</v>
      </c>
      <c r="N61" s="50">
        <v>30384</v>
      </c>
      <c r="AD61" s="59"/>
      <c r="AE61" s="58"/>
      <c r="AF61" s="53"/>
      <c r="AG61" s="53"/>
      <c r="AH61" s="54"/>
      <c r="AI61" s="54"/>
      <c r="AJ61" s="54"/>
      <c r="AK61" s="54"/>
      <c r="AL61" s="54"/>
      <c r="AM61" s="54"/>
      <c r="AN61" s="57"/>
      <c r="AO61" s="56"/>
      <c r="AP61" s="56"/>
      <c r="AQ61" s="52">
        <v>45845</v>
      </c>
      <c r="AR61" s="46">
        <v>45930</v>
      </c>
      <c r="AS61" s="47" t="s">
        <v>107</v>
      </c>
      <c r="AT61" s="47" t="s">
        <v>108</v>
      </c>
      <c r="AU61" s="48">
        <v>2638.5</v>
      </c>
      <c r="AV61" s="48">
        <v>2638.5</v>
      </c>
      <c r="AW61" s="48">
        <v>2615.5</v>
      </c>
      <c r="AX61" s="48">
        <v>2617.4</v>
      </c>
      <c r="AY61" s="48">
        <v>2619.3000000000002</v>
      </c>
      <c r="AZ61" s="48">
        <v>2617.4</v>
      </c>
      <c r="BA61" s="50">
        <v>5400</v>
      </c>
      <c r="BB61" s="49" t="s">
        <v>634</v>
      </c>
      <c r="BC61" s="49" t="s">
        <v>634</v>
      </c>
      <c r="BD61" s="50">
        <v>21900</v>
      </c>
      <c r="BE61" s="49">
        <v>900</v>
      </c>
    </row>
    <row r="62" spans="1:57" x14ac:dyDescent="0.3">
      <c r="A62" s="52">
        <v>45842</v>
      </c>
      <c r="B62" s="47" t="s">
        <v>106</v>
      </c>
      <c r="C62" s="48">
        <v>2617</v>
      </c>
      <c r="D62" s="48">
        <v>2617</v>
      </c>
      <c r="E62" s="48">
        <v>2582.1999999999998</v>
      </c>
      <c r="F62" s="48">
        <v>2611.1999999999998</v>
      </c>
      <c r="G62" s="48">
        <v>2599</v>
      </c>
      <c r="H62" s="48">
        <v>2599.1</v>
      </c>
      <c r="I62" s="48">
        <v>2599.15</v>
      </c>
      <c r="J62" s="48">
        <v>3258</v>
      </c>
      <c r="K62" s="48">
        <v>2025</v>
      </c>
      <c r="L62" s="49" t="s">
        <v>635</v>
      </c>
      <c r="M62" s="49" t="s">
        <v>636</v>
      </c>
      <c r="N62" s="50">
        <v>25138</v>
      </c>
      <c r="AD62" s="59"/>
      <c r="AE62" s="58"/>
      <c r="AF62" s="53"/>
      <c r="AG62" s="53"/>
      <c r="AH62" s="54"/>
      <c r="AI62" s="54"/>
      <c r="AJ62" s="54"/>
      <c r="AK62" s="54"/>
      <c r="AL62" s="54"/>
      <c r="AM62" s="54"/>
      <c r="AN62" s="57"/>
      <c r="AO62" s="56"/>
      <c r="AP62" s="56"/>
      <c r="AQ62" s="52">
        <v>45842</v>
      </c>
      <c r="AR62" s="46">
        <v>45930</v>
      </c>
      <c r="AS62" s="47" t="s">
        <v>107</v>
      </c>
      <c r="AT62" s="47" t="s">
        <v>108</v>
      </c>
      <c r="AU62" s="48">
        <v>2647</v>
      </c>
      <c r="AV62" s="48">
        <v>2647</v>
      </c>
      <c r="AW62" s="48">
        <v>2626.3</v>
      </c>
      <c r="AX62" s="48">
        <v>2638.5</v>
      </c>
      <c r="AY62" s="48">
        <v>2638.5</v>
      </c>
      <c r="AZ62" s="48">
        <v>2638.5</v>
      </c>
      <c r="BA62" s="50">
        <v>3000</v>
      </c>
      <c r="BB62" s="49" t="s">
        <v>637</v>
      </c>
      <c r="BC62" s="49" t="s">
        <v>637</v>
      </c>
      <c r="BD62" s="50">
        <v>21000</v>
      </c>
      <c r="BE62" s="49">
        <v>300</v>
      </c>
    </row>
    <row r="63" spans="1:57" x14ac:dyDescent="0.3">
      <c r="A63" s="52">
        <v>45841</v>
      </c>
      <c r="B63" s="47" t="s">
        <v>106</v>
      </c>
      <c r="C63" s="48">
        <v>2634</v>
      </c>
      <c r="D63" s="48">
        <v>2644</v>
      </c>
      <c r="E63" s="48">
        <v>2605.1</v>
      </c>
      <c r="F63" s="48">
        <v>2630.2</v>
      </c>
      <c r="G63" s="48">
        <v>2608</v>
      </c>
      <c r="H63" s="48">
        <v>2611.1999999999998</v>
      </c>
      <c r="I63" s="48">
        <v>2618.1</v>
      </c>
      <c r="J63" s="48">
        <v>3258</v>
      </c>
      <c r="K63" s="48">
        <v>2025</v>
      </c>
      <c r="L63" s="49" t="s">
        <v>638</v>
      </c>
      <c r="M63" s="49" t="s">
        <v>639</v>
      </c>
      <c r="N63" s="50">
        <v>29883</v>
      </c>
      <c r="AD63" s="59"/>
      <c r="AE63" s="58"/>
      <c r="AF63" s="53"/>
      <c r="AG63" s="53"/>
      <c r="AH63" s="54"/>
      <c r="AI63" s="54"/>
      <c r="AJ63" s="54"/>
      <c r="AK63" s="54"/>
      <c r="AL63" s="54"/>
      <c r="AM63" s="54"/>
      <c r="AN63" s="57"/>
      <c r="AO63" s="56"/>
      <c r="AP63" s="56"/>
      <c r="AQ63" s="52">
        <v>45841</v>
      </c>
      <c r="AR63" s="46">
        <v>45930</v>
      </c>
      <c r="AS63" s="51" t="s">
        <v>107</v>
      </c>
      <c r="AT63" s="51" t="s">
        <v>108</v>
      </c>
      <c r="AU63" s="50">
        <v>2653.4</v>
      </c>
      <c r="AV63" s="50">
        <v>2684.3</v>
      </c>
      <c r="AW63" s="50">
        <v>2653.4</v>
      </c>
      <c r="AX63" s="50">
        <v>2668</v>
      </c>
      <c r="AY63" s="50">
        <v>2668</v>
      </c>
      <c r="AZ63" s="50">
        <v>2650.5</v>
      </c>
      <c r="BA63" s="50">
        <v>3600</v>
      </c>
      <c r="BB63" s="50" t="s">
        <v>640</v>
      </c>
      <c r="BC63" s="50" t="s">
        <v>640</v>
      </c>
      <c r="BD63" s="50">
        <v>20700</v>
      </c>
      <c r="BE63" s="50">
        <v>2100</v>
      </c>
    </row>
    <row r="64" spans="1:57" x14ac:dyDescent="0.3">
      <c r="A64" s="52">
        <v>45840</v>
      </c>
      <c r="B64" s="47" t="s">
        <v>106</v>
      </c>
      <c r="C64" s="48">
        <v>2634</v>
      </c>
      <c r="D64" s="48">
        <v>2646</v>
      </c>
      <c r="E64" s="48">
        <v>2613.6</v>
      </c>
      <c r="F64" s="48">
        <v>2621.8</v>
      </c>
      <c r="G64" s="48">
        <v>2629</v>
      </c>
      <c r="H64" s="48">
        <v>2630.2</v>
      </c>
      <c r="I64" s="48">
        <v>2630.67</v>
      </c>
      <c r="J64" s="48">
        <v>3258</v>
      </c>
      <c r="K64" s="48">
        <v>2025</v>
      </c>
      <c r="L64" s="49" t="s">
        <v>641</v>
      </c>
      <c r="M64" s="49" t="s">
        <v>642</v>
      </c>
      <c r="N64" s="50">
        <v>34383</v>
      </c>
      <c r="AD64" s="59"/>
      <c r="AE64" s="58"/>
      <c r="AF64" s="53"/>
      <c r="AG64" s="53"/>
      <c r="AH64" s="54"/>
      <c r="AI64" s="54"/>
      <c r="AJ64" s="54"/>
      <c r="AK64" s="54"/>
      <c r="AL64" s="54"/>
      <c r="AM64" s="54"/>
      <c r="AN64" s="57"/>
      <c r="AO64" s="56"/>
      <c r="AP64" s="56"/>
      <c r="AQ64" s="52">
        <v>45840</v>
      </c>
      <c r="AR64" s="46">
        <v>45930</v>
      </c>
      <c r="AS64" s="51" t="s">
        <v>107</v>
      </c>
      <c r="AT64" s="51" t="s">
        <v>108</v>
      </c>
      <c r="AU64" s="50">
        <v>2667.6</v>
      </c>
      <c r="AV64" s="50">
        <v>2689.7</v>
      </c>
      <c r="AW64" s="50">
        <v>2663.2</v>
      </c>
      <c r="AX64" s="50">
        <v>2673.4</v>
      </c>
      <c r="AY64" s="50">
        <v>2673.4</v>
      </c>
      <c r="AZ64" s="50">
        <v>2673.4</v>
      </c>
      <c r="BA64" s="50">
        <v>5400</v>
      </c>
      <c r="BB64" s="50" t="s">
        <v>643</v>
      </c>
      <c r="BC64" s="50" t="s">
        <v>643</v>
      </c>
      <c r="BD64" s="50">
        <v>18600</v>
      </c>
      <c r="BE64" s="50">
        <v>3000</v>
      </c>
    </row>
    <row r="65" spans="1:57" x14ac:dyDescent="0.3">
      <c r="A65" s="52">
        <v>45839</v>
      </c>
      <c r="B65" s="47" t="s">
        <v>106</v>
      </c>
      <c r="C65" s="48">
        <v>2624.9</v>
      </c>
      <c r="D65" s="48">
        <v>2645</v>
      </c>
      <c r="E65" s="48">
        <v>2603</v>
      </c>
      <c r="F65" s="48">
        <v>2619.4</v>
      </c>
      <c r="G65" s="48">
        <v>2626</v>
      </c>
      <c r="H65" s="48">
        <v>2621.8</v>
      </c>
      <c r="I65" s="48">
        <v>2625.01</v>
      </c>
      <c r="J65" s="48">
        <v>3258</v>
      </c>
      <c r="K65" s="48">
        <v>2025</v>
      </c>
      <c r="L65" s="49" t="s">
        <v>644</v>
      </c>
      <c r="M65" s="49" t="s">
        <v>645</v>
      </c>
      <c r="N65" s="50">
        <v>37539</v>
      </c>
      <c r="AD65" s="59"/>
      <c r="AE65" s="58"/>
      <c r="AF65" s="53"/>
      <c r="AG65" s="53"/>
      <c r="AH65" s="54"/>
      <c r="AI65" s="54"/>
      <c r="AJ65" s="54"/>
      <c r="AK65" s="54"/>
      <c r="AL65" s="54"/>
      <c r="AM65" s="54"/>
      <c r="AN65" s="57"/>
      <c r="AO65" s="56"/>
      <c r="AP65" s="56"/>
      <c r="AQ65" s="52">
        <v>45839</v>
      </c>
      <c r="AR65" s="46">
        <v>45930</v>
      </c>
      <c r="AS65" s="51" t="s">
        <v>107</v>
      </c>
      <c r="AT65" s="51" t="s">
        <v>108</v>
      </c>
      <c r="AU65" s="50">
        <v>2679.7</v>
      </c>
      <c r="AV65" s="50">
        <v>2681</v>
      </c>
      <c r="AW65" s="50">
        <v>2646.5</v>
      </c>
      <c r="AX65" s="50">
        <v>2664.9</v>
      </c>
      <c r="AY65" s="50">
        <v>2667.6</v>
      </c>
      <c r="AZ65" s="50">
        <v>2664.9</v>
      </c>
      <c r="BA65" s="50">
        <v>8100</v>
      </c>
      <c r="BB65" s="50" t="s">
        <v>646</v>
      </c>
      <c r="BC65" s="50" t="s">
        <v>646</v>
      </c>
      <c r="BD65" s="50">
        <v>15600</v>
      </c>
      <c r="BE65" s="50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Assumptions</vt:lpstr>
      <vt:lpstr>Data Analysis</vt:lpstr>
      <vt:lpstr>Trade_Log</vt:lpstr>
      <vt:lpstr>Daily_Ledger</vt:lpstr>
      <vt:lpstr>Raw_Data_Reliance</vt:lpstr>
      <vt:lpstr>Raw_Data_Adani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Kuntal Pyne</cp:lastModifiedBy>
  <dcterms:modified xsi:type="dcterms:W3CDTF">2025-11-27T15:36:48Z</dcterms:modified>
</cp:coreProperties>
</file>